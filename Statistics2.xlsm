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im\Documents\GitHub\Statistics\"/>
    </mc:Choice>
  </mc:AlternateContent>
  <bookViews>
    <workbookView xWindow="0" yWindow="0" windowWidth="15390" windowHeight="7065" activeTab="1"/>
  </bookViews>
  <sheets>
    <sheet name="Distribution" sheetId="1" r:id="rId1"/>
    <sheet name="B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2" l="1"/>
  <c r="J7" i="2"/>
  <c r="K6" i="2"/>
  <c r="J6" i="2"/>
  <c r="L25" i="1"/>
  <c r="K25" i="1"/>
  <c r="J25" i="1"/>
  <c r="I25" i="1"/>
  <c r="H25" i="1"/>
  <c r="L24" i="1"/>
  <c r="K24" i="1"/>
  <c r="J24" i="1"/>
  <c r="I24" i="1"/>
  <c r="H24" i="1"/>
  <c r="L23" i="1"/>
  <c r="K23" i="1"/>
  <c r="J23" i="1"/>
  <c r="I23" i="1"/>
  <c r="H23" i="1"/>
  <c r="L22" i="1"/>
  <c r="K22" i="1"/>
  <c r="J22" i="1"/>
  <c r="I22" i="1"/>
  <c r="H22" i="1"/>
  <c r="L21" i="1"/>
  <c r="K21" i="1"/>
  <c r="J21" i="1"/>
  <c r="I21" i="1"/>
  <c r="H21" i="1"/>
  <c r="L20" i="1"/>
  <c r="K20" i="1"/>
  <c r="J20" i="1"/>
  <c r="I20" i="1"/>
  <c r="H20" i="1"/>
  <c r="L19" i="1"/>
  <c r="K19" i="1"/>
  <c r="J19" i="1"/>
  <c r="I19" i="1"/>
  <c r="H19" i="1"/>
  <c r="L18" i="1"/>
  <c r="K18" i="1"/>
  <c r="J18" i="1"/>
  <c r="I18" i="1"/>
  <c r="H18" i="1"/>
  <c r="L17" i="1"/>
  <c r="K17" i="1"/>
  <c r="J17" i="1"/>
  <c r="I17" i="1"/>
  <c r="H17" i="1"/>
  <c r="L16" i="1"/>
  <c r="K16" i="1"/>
  <c r="J16" i="1"/>
  <c r="I16" i="1"/>
  <c r="H16" i="1"/>
  <c r="L15" i="1"/>
  <c r="K15" i="1"/>
  <c r="J15" i="1"/>
  <c r="I15" i="1"/>
  <c r="H15" i="1"/>
  <c r="L14" i="1"/>
  <c r="K14" i="1"/>
  <c r="J14" i="1"/>
  <c r="I14" i="1"/>
  <c r="H14" i="1"/>
  <c r="L13" i="1"/>
  <c r="K13" i="1"/>
  <c r="J13" i="1"/>
  <c r="I13" i="1"/>
  <c r="H13" i="1"/>
  <c r="L12" i="1"/>
  <c r="K12" i="1"/>
  <c r="J12" i="1"/>
  <c r="I12" i="1"/>
  <c r="H12" i="1"/>
  <c r="L11" i="1"/>
  <c r="K11" i="1"/>
  <c r="J11" i="1"/>
  <c r="I11" i="1"/>
  <c r="H11" i="1"/>
  <c r="L10" i="1"/>
  <c r="K10" i="1"/>
  <c r="J10" i="1"/>
  <c r="I10" i="1"/>
  <c r="H10" i="1"/>
  <c r="L9" i="1"/>
  <c r="K9" i="1"/>
  <c r="J9" i="1"/>
  <c r="I9" i="1"/>
  <c r="H9" i="1"/>
  <c r="L8" i="1"/>
  <c r="K8" i="1"/>
  <c r="J8" i="1"/>
  <c r="I8" i="1"/>
  <c r="H8" i="1"/>
  <c r="L7" i="1"/>
  <c r="K7" i="1"/>
  <c r="J7" i="1"/>
  <c r="I7" i="1"/>
  <c r="H7" i="1"/>
  <c r="L6" i="1"/>
  <c r="K6" i="1"/>
  <c r="J6" i="1"/>
  <c r="I6" i="1"/>
  <c r="H6" i="1"/>
  <c r="L5" i="1"/>
  <c r="K5" i="1"/>
  <c r="J5" i="1"/>
  <c r="I5" i="1"/>
  <c r="H5" i="1"/>
  <c r="R7" i="2"/>
  <c r="T108" i="2"/>
  <c r="P108" i="2"/>
  <c r="Q107" i="2"/>
  <c r="R106" i="2"/>
  <c r="S105" i="2"/>
  <c r="T104" i="2"/>
  <c r="P104" i="2"/>
  <c r="Q103" i="2"/>
  <c r="R102" i="2"/>
  <c r="S101" i="2"/>
  <c r="T100" i="2"/>
  <c r="P100" i="2"/>
  <c r="Q99" i="2"/>
  <c r="R98" i="2"/>
  <c r="S97" i="2"/>
  <c r="T96" i="2"/>
  <c r="P96" i="2"/>
  <c r="Q95" i="2"/>
  <c r="R94" i="2"/>
  <c r="S93" i="2"/>
  <c r="T92" i="2"/>
  <c r="P92" i="2"/>
  <c r="Q91" i="2"/>
  <c r="R90" i="2"/>
  <c r="S89" i="2"/>
  <c r="T88" i="2"/>
  <c r="P88" i="2"/>
  <c r="Q87" i="2"/>
  <c r="R86" i="2"/>
  <c r="S85" i="2"/>
  <c r="T84" i="2"/>
  <c r="P84" i="2"/>
  <c r="Q83" i="2"/>
  <c r="R82" i="2"/>
  <c r="S81" i="2"/>
  <c r="T80" i="2"/>
  <c r="P80" i="2"/>
  <c r="Q79" i="2"/>
  <c r="R78" i="2"/>
  <c r="S77" i="2"/>
  <c r="T76" i="2"/>
  <c r="P76" i="2"/>
  <c r="Q75" i="2"/>
  <c r="R74" i="2"/>
  <c r="S73" i="2"/>
  <c r="T72" i="2"/>
  <c r="P72" i="2"/>
  <c r="Q71" i="2"/>
  <c r="R70" i="2"/>
  <c r="S69" i="2"/>
  <c r="T68" i="2"/>
  <c r="P68" i="2"/>
  <c r="Q67" i="2"/>
  <c r="R66" i="2"/>
  <c r="S65" i="2"/>
  <c r="T64" i="2"/>
  <c r="P64" i="2"/>
  <c r="Q63" i="2"/>
  <c r="R62" i="2"/>
  <c r="S61" i="2"/>
  <c r="T60" i="2"/>
  <c r="P60" i="2"/>
  <c r="Q59" i="2"/>
  <c r="R58" i="2"/>
  <c r="S57" i="2"/>
  <c r="T56" i="2"/>
  <c r="P56" i="2"/>
  <c r="Q55" i="2"/>
  <c r="R54" i="2"/>
  <c r="S53" i="2"/>
  <c r="T52" i="2"/>
  <c r="P52" i="2"/>
  <c r="Q51" i="2"/>
  <c r="R50" i="2"/>
  <c r="S49" i="2"/>
  <c r="T48" i="2"/>
  <c r="P48" i="2"/>
  <c r="Q47" i="2"/>
  <c r="R46" i="2"/>
  <c r="S45" i="2"/>
  <c r="T44" i="2"/>
  <c r="P44" i="2"/>
  <c r="Q43" i="2"/>
  <c r="R42" i="2"/>
  <c r="S41" i="2"/>
  <c r="T40" i="2"/>
  <c r="P40" i="2"/>
  <c r="Q39" i="2"/>
  <c r="R38" i="2"/>
  <c r="S37" i="2"/>
  <c r="T36" i="2"/>
  <c r="P36" i="2"/>
  <c r="Q35" i="2"/>
  <c r="R34" i="2"/>
  <c r="S33" i="2"/>
  <c r="T32" i="2"/>
  <c r="P32" i="2"/>
  <c r="Q31" i="2"/>
  <c r="R30" i="2"/>
  <c r="S29" i="2"/>
  <c r="T28" i="2"/>
  <c r="P28" i="2"/>
  <c r="Q27" i="2"/>
  <c r="R26" i="2"/>
  <c r="S25" i="2"/>
  <c r="T24" i="2"/>
  <c r="P24" i="2"/>
  <c r="Q23" i="2"/>
  <c r="R22" i="2"/>
  <c r="S21" i="2"/>
  <c r="T20" i="2"/>
  <c r="P20" i="2"/>
  <c r="Q19" i="2"/>
  <c r="S108" i="2"/>
  <c r="T107" i="2"/>
  <c r="P107" i="2"/>
  <c r="Q106" i="2"/>
  <c r="R105" i="2"/>
  <c r="S104" i="2"/>
  <c r="T103" i="2"/>
  <c r="P103" i="2"/>
  <c r="Q102" i="2"/>
  <c r="R101" i="2"/>
  <c r="S100" i="2"/>
  <c r="T99" i="2"/>
  <c r="P99" i="2"/>
  <c r="Q98" i="2"/>
  <c r="R97" i="2"/>
  <c r="S96" i="2"/>
  <c r="T95" i="2"/>
  <c r="P95" i="2"/>
  <c r="Q94" i="2"/>
  <c r="R93" i="2"/>
  <c r="S92" i="2"/>
  <c r="T91" i="2"/>
  <c r="P91" i="2"/>
  <c r="Q90" i="2"/>
  <c r="R89" i="2"/>
  <c r="S88" i="2"/>
  <c r="T87" i="2"/>
  <c r="P87" i="2"/>
  <c r="Q86" i="2"/>
  <c r="R85" i="2"/>
  <c r="S84" i="2"/>
  <c r="T83" i="2"/>
  <c r="P83" i="2"/>
  <c r="Q82" i="2"/>
  <c r="R81" i="2"/>
  <c r="S80" i="2"/>
  <c r="T79" i="2"/>
  <c r="P79" i="2"/>
  <c r="Q78" i="2"/>
  <c r="R77" i="2"/>
  <c r="S76" i="2"/>
  <c r="T75" i="2"/>
  <c r="P75" i="2"/>
  <c r="Q74" i="2"/>
  <c r="R73" i="2"/>
  <c r="S72" i="2"/>
  <c r="T71" i="2"/>
  <c r="P71" i="2"/>
  <c r="Q70" i="2"/>
  <c r="R69" i="2"/>
  <c r="S68" i="2"/>
  <c r="T67" i="2"/>
  <c r="P67" i="2"/>
  <c r="Q66" i="2"/>
  <c r="R65" i="2"/>
  <c r="S64" i="2"/>
  <c r="T63" i="2"/>
  <c r="P63" i="2"/>
  <c r="Q62" i="2"/>
  <c r="R61" i="2"/>
  <c r="S60" i="2"/>
  <c r="T59" i="2"/>
  <c r="P59" i="2"/>
  <c r="Q58" i="2"/>
  <c r="R57" i="2"/>
  <c r="S56" i="2"/>
  <c r="T55" i="2"/>
  <c r="P55" i="2"/>
  <c r="Q54" i="2"/>
  <c r="R53" i="2"/>
  <c r="S52" i="2"/>
  <c r="T51" i="2"/>
  <c r="P51" i="2"/>
  <c r="Q50" i="2"/>
  <c r="R49" i="2"/>
  <c r="S48" i="2"/>
  <c r="T47" i="2"/>
  <c r="P47" i="2"/>
  <c r="Q46" i="2"/>
  <c r="R45" i="2"/>
  <c r="S44" i="2"/>
  <c r="T43" i="2"/>
  <c r="P43" i="2"/>
  <c r="Q42" i="2"/>
  <c r="R41" i="2"/>
  <c r="S40" i="2"/>
  <c r="T39" i="2"/>
  <c r="P39" i="2"/>
  <c r="Q38" i="2"/>
  <c r="R37" i="2"/>
  <c r="S36" i="2"/>
  <c r="T35" i="2"/>
  <c r="P35" i="2"/>
  <c r="Q34" i="2"/>
  <c r="R33" i="2"/>
  <c r="S32" i="2"/>
  <c r="T31" i="2"/>
  <c r="P31" i="2"/>
  <c r="Q30" i="2"/>
  <c r="R29" i="2"/>
  <c r="S28" i="2"/>
  <c r="T27" i="2"/>
  <c r="P27" i="2"/>
  <c r="Q26" i="2"/>
  <c r="R25" i="2"/>
  <c r="S24" i="2"/>
  <c r="T23" i="2"/>
  <c r="P23" i="2"/>
  <c r="Q22" i="2"/>
  <c r="R21" i="2"/>
  <c r="S20" i="2"/>
  <c r="T19" i="2"/>
  <c r="R108" i="2"/>
  <c r="S107" i="2"/>
  <c r="T106" i="2"/>
  <c r="P106" i="2"/>
  <c r="Q105" i="2"/>
  <c r="R104" i="2"/>
  <c r="S103" i="2"/>
  <c r="T102" i="2"/>
  <c r="P102" i="2"/>
  <c r="Q101" i="2"/>
  <c r="R100" i="2"/>
  <c r="S99" i="2"/>
  <c r="T98" i="2"/>
  <c r="P98" i="2"/>
  <c r="Q97" i="2"/>
  <c r="R96" i="2"/>
  <c r="S95" i="2"/>
  <c r="T94" i="2"/>
  <c r="P94" i="2"/>
  <c r="Q93" i="2"/>
  <c r="R92" i="2"/>
  <c r="S91" i="2"/>
  <c r="T90" i="2"/>
  <c r="P90" i="2"/>
  <c r="Q89" i="2"/>
  <c r="R88" i="2"/>
  <c r="S87" i="2"/>
  <c r="T86" i="2"/>
  <c r="P86" i="2"/>
  <c r="Q85" i="2"/>
  <c r="R84" i="2"/>
  <c r="S83" i="2"/>
  <c r="T82" i="2"/>
  <c r="P82" i="2"/>
  <c r="Q81" i="2"/>
  <c r="R80" i="2"/>
  <c r="S79" i="2"/>
  <c r="T78" i="2"/>
  <c r="P78" i="2"/>
  <c r="Q77" i="2"/>
  <c r="R76" i="2"/>
  <c r="S75" i="2"/>
  <c r="T74" i="2"/>
  <c r="P74" i="2"/>
  <c r="Q73" i="2"/>
  <c r="R72" i="2"/>
  <c r="S71" i="2"/>
  <c r="T70" i="2"/>
  <c r="P70" i="2"/>
  <c r="Q69" i="2"/>
  <c r="R68" i="2"/>
  <c r="S67" i="2"/>
  <c r="T66" i="2"/>
  <c r="P66" i="2"/>
  <c r="Q65" i="2"/>
  <c r="R64" i="2"/>
  <c r="S63" i="2"/>
  <c r="T62" i="2"/>
  <c r="P62" i="2"/>
  <c r="Q61" i="2"/>
  <c r="R60" i="2"/>
  <c r="S59" i="2"/>
  <c r="T58" i="2"/>
  <c r="P58" i="2"/>
  <c r="Q57" i="2"/>
  <c r="R56" i="2"/>
  <c r="S55" i="2"/>
  <c r="T54" i="2"/>
  <c r="P54" i="2"/>
  <c r="Q53" i="2"/>
  <c r="R52" i="2"/>
  <c r="S51" i="2"/>
  <c r="T50" i="2"/>
  <c r="P50" i="2"/>
  <c r="Q49" i="2"/>
  <c r="R48" i="2"/>
  <c r="S47" i="2"/>
  <c r="T46" i="2"/>
  <c r="P46" i="2"/>
  <c r="Q45" i="2"/>
  <c r="R44" i="2"/>
  <c r="S43" i="2"/>
  <c r="T42" i="2"/>
  <c r="P42" i="2"/>
  <c r="Q41" i="2"/>
  <c r="R40" i="2"/>
  <c r="S39" i="2"/>
  <c r="T38" i="2"/>
  <c r="P38" i="2"/>
  <c r="Q37" i="2"/>
  <c r="R36" i="2"/>
  <c r="S35" i="2"/>
  <c r="T34" i="2"/>
  <c r="P34" i="2"/>
  <c r="Q33" i="2"/>
  <c r="R32" i="2"/>
  <c r="S31" i="2"/>
  <c r="T30" i="2"/>
  <c r="P30" i="2"/>
  <c r="Q29" i="2"/>
  <c r="R28" i="2"/>
  <c r="S27" i="2"/>
  <c r="T26" i="2"/>
  <c r="P26" i="2"/>
  <c r="Q25" i="2"/>
  <c r="R24" i="2"/>
  <c r="S23" i="2"/>
  <c r="T22" i="2"/>
  <c r="P22" i="2"/>
  <c r="Q21" i="2"/>
  <c r="R20" i="2"/>
  <c r="S19" i="2"/>
  <c r="Q108" i="2"/>
  <c r="R107" i="2"/>
  <c r="S106" i="2"/>
  <c r="T105" i="2"/>
  <c r="P105" i="2"/>
  <c r="Q104" i="2"/>
  <c r="R103" i="2"/>
  <c r="S102" i="2"/>
  <c r="T101" i="2"/>
  <c r="P101" i="2"/>
  <c r="Q100" i="2"/>
  <c r="R99" i="2"/>
  <c r="S98" i="2"/>
  <c r="T97" i="2"/>
  <c r="P97" i="2"/>
  <c r="Q96" i="2"/>
  <c r="R95" i="2"/>
  <c r="S94" i="2"/>
  <c r="T93" i="2"/>
  <c r="P93" i="2"/>
  <c r="Q92" i="2"/>
  <c r="R91" i="2"/>
  <c r="S90" i="2"/>
  <c r="T89" i="2"/>
  <c r="P89" i="2"/>
  <c r="Q88" i="2"/>
  <c r="R87" i="2"/>
  <c r="S86" i="2"/>
  <c r="T85" i="2"/>
  <c r="P85" i="2"/>
  <c r="Q84" i="2"/>
  <c r="R83" i="2"/>
  <c r="S82" i="2"/>
  <c r="T81" i="2"/>
  <c r="P81" i="2"/>
  <c r="Q80" i="2"/>
  <c r="R79" i="2"/>
  <c r="S78" i="2"/>
  <c r="T77" i="2"/>
  <c r="P77" i="2"/>
  <c r="Q76" i="2"/>
  <c r="R75" i="2"/>
  <c r="S74" i="2"/>
  <c r="T73" i="2"/>
  <c r="P73" i="2"/>
  <c r="Q72" i="2"/>
  <c r="R71" i="2"/>
  <c r="S70" i="2"/>
  <c r="T69" i="2"/>
  <c r="P69" i="2"/>
  <c r="Q68" i="2"/>
  <c r="R67" i="2"/>
  <c r="S66" i="2"/>
  <c r="T65" i="2"/>
  <c r="P65" i="2"/>
  <c r="Q64" i="2"/>
  <c r="R63" i="2"/>
  <c r="S62" i="2"/>
  <c r="T61" i="2"/>
  <c r="P61" i="2"/>
  <c r="Q60" i="2"/>
  <c r="R59" i="2"/>
  <c r="S58" i="2"/>
  <c r="T57" i="2"/>
  <c r="P57" i="2"/>
  <c r="Q56" i="2"/>
  <c r="R55" i="2"/>
  <c r="S54" i="2"/>
  <c r="T53" i="2"/>
  <c r="P53" i="2"/>
  <c r="Q52" i="2"/>
  <c r="R51" i="2"/>
  <c r="S50" i="2"/>
  <c r="T49" i="2"/>
  <c r="P49" i="2"/>
  <c r="Q48" i="2"/>
  <c r="R47" i="2"/>
  <c r="S46" i="2"/>
  <c r="T45" i="2"/>
  <c r="P45" i="2"/>
  <c r="Q44" i="2"/>
  <c r="R43" i="2"/>
  <c r="S42" i="2"/>
  <c r="T41" i="2"/>
  <c r="P41" i="2"/>
  <c r="Q40" i="2"/>
  <c r="R39" i="2"/>
  <c r="S38" i="2"/>
  <c r="T37" i="2"/>
  <c r="P37" i="2"/>
  <c r="Q36" i="2"/>
  <c r="R35" i="2"/>
  <c r="S34" i="2"/>
  <c r="T33" i="2"/>
  <c r="P33" i="2"/>
  <c r="Q32" i="2"/>
  <c r="R31" i="2"/>
  <c r="S30" i="2"/>
  <c r="T29" i="2"/>
  <c r="P29" i="2"/>
  <c r="Q28" i="2"/>
  <c r="R27" i="2"/>
  <c r="S26" i="2"/>
  <c r="T25" i="2"/>
  <c r="P25" i="2"/>
  <c r="Q24" i="2"/>
  <c r="R23" i="2"/>
  <c r="S22" i="2"/>
  <c r="T21" i="2"/>
  <c r="P21" i="2"/>
  <c r="Q20" i="2"/>
  <c r="R19" i="2"/>
  <c r="P19" i="2"/>
  <c r="D7" i="2"/>
  <c r="G3" i="2"/>
  <c r="C34" i="2"/>
  <c r="C33" i="2"/>
  <c r="C32" i="2"/>
  <c r="C31" i="2"/>
  <c r="C30" i="2"/>
  <c r="C29" i="2"/>
  <c r="C27" i="2"/>
  <c r="C26" i="2"/>
  <c r="C25" i="2"/>
  <c r="C24" i="2"/>
  <c r="C23" i="2"/>
  <c r="C22" i="2"/>
  <c r="C21" i="2"/>
  <c r="C20" i="2"/>
  <c r="C19" i="2"/>
  <c r="D116" i="2"/>
  <c r="C113" i="2"/>
  <c r="B110" i="2"/>
  <c r="F106" i="2"/>
  <c r="E103" i="2"/>
  <c r="D100" i="2"/>
  <c r="C97" i="2"/>
  <c r="B94" i="2"/>
  <c r="F90" i="2"/>
  <c r="E87" i="2"/>
  <c r="D84" i="2"/>
  <c r="C81" i="2"/>
  <c r="B78" i="2"/>
  <c r="F74" i="2"/>
  <c r="E71" i="2"/>
  <c r="D68" i="2"/>
  <c r="C65" i="2"/>
  <c r="B62" i="2"/>
  <c r="F58" i="2"/>
  <c r="E55" i="2"/>
  <c r="D52" i="2"/>
  <c r="C49" i="2"/>
  <c r="B46" i="2"/>
  <c r="F42" i="2"/>
  <c r="E39" i="2"/>
  <c r="D36" i="2"/>
  <c r="D32" i="2"/>
  <c r="D28" i="2"/>
  <c r="D24" i="2"/>
  <c r="D20" i="2"/>
  <c r="B117" i="2"/>
  <c r="F113" i="2"/>
  <c r="E110" i="2"/>
  <c r="D107" i="2"/>
  <c r="C104" i="2"/>
  <c r="B101" i="2"/>
  <c r="F97" i="2"/>
  <c r="E94" i="2"/>
  <c r="D91" i="2"/>
  <c r="C88" i="2"/>
  <c r="B85" i="2"/>
  <c r="F81" i="2"/>
  <c r="E78" i="2"/>
  <c r="D75" i="2"/>
  <c r="C72" i="2"/>
  <c r="B69" i="2"/>
  <c r="F65" i="2"/>
  <c r="E62" i="2"/>
  <c r="D59" i="2"/>
  <c r="C56" i="2"/>
  <c r="B53" i="2"/>
  <c r="F49" i="2"/>
  <c r="E46" i="2"/>
  <c r="D43" i="2"/>
  <c r="C40" i="2"/>
  <c r="B37" i="2"/>
  <c r="F33" i="2"/>
  <c r="F29" i="2"/>
  <c r="E26" i="2"/>
  <c r="E22" i="2"/>
  <c r="D118" i="2"/>
  <c r="C115" i="2"/>
  <c r="B112" i="2"/>
  <c r="F108" i="2"/>
  <c r="E105" i="2"/>
  <c r="D102" i="2"/>
  <c r="C99" i="2"/>
  <c r="B96" i="2"/>
  <c r="F92" i="2"/>
  <c r="E89" i="2"/>
  <c r="D86" i="2"/>
  <c r="C83" i="2"/>
  <c r="B80" i="2"/>
  <c r="F76" i="2"/>
  <c r="E73" i="2"/>
  <c r="D70" i="2"/>
  <c r="C67" i="2"/>
  <c r="B64" i="2"/>
  <c r="F60" i="2"/>
  <c r="E57" i="2"/>
  <c r="D54" i="2"/>
  <c r="C51" i="2"/>
  <c r="B48" i="2"/>
  <c r="F44" i="2"/>
  <c r="D38" i="2"/>
  <c r="C35" i="2"/>
  <c r="B32" i="2"/>
  <c r="B28" i="2"/>
  <c r="B24" i="2"/>
  <c r="F115" i="2"/>
  <c r="D109" i="2"/>
  <c r="B103" i="2"/>
  <c r="E96" i="2"/>
  <c r="C90" i="2"/>
  <c r="F118" i="2"/>
  <c r="E115" i="2"/>
  <c r="D112" i="2"/>
  <c r="C109" i="2"/>
  <c r="B106" i="2"/>
  <c r="F102" i="2"/>
  <c r="E99" i="2"/>
  <c r="D96" i="2"/>
  <c r="C93" i="2"/>
  <c r="B90" i="2"/>
  <c r="F86" i="2"/>
  <c r="E83" i="2"/>
  <c r="D80" i="2"/>
  <c r="C77" i="2"/>
  <c r="B74" i="2"/>
  <c r="F70" i="2"/>
  <c r="E67" i="2"/>
  <c r="D64" i="2"/>
  <c r="C61" i="2"/>
  <c r="B58" i="2"/>
  <c r="F54" i="2"/>
  <c r="E51" i="2"/>
  <c r="D48" i="2"/>
  <c r="C45" i="2"/>
  <c r="B42" i="2"/>
  <c r="F38" i="2"/>
  <c r="E35" i="2"/>
  <c r="E31" i="2"/>
  <c r="E27" i="2"/>
  <c r="E23" i="2"/>
  <c r="E19" i="2"/>
  <c r="C116" i="2"/>
  <c r="B113" i="2"/>
  <c r="F109" i="2"/>
  <c r="E106" i="2"/>
  <c r="D103" i="2"/>
  <c r="C100" i="2"/>
  <c r="B97" i="2"/>
  <c r="F93" i="2"/>
  <c r="E90" i="2"/>
  <c r="D87" i="2"/>
  <c r="C84" i="2"/>
  <c r="B81" i="2"/>
  <c r="F77" i="2"/>
  <c r="E74" i="2"/>
  <c r="D71" i="2"/>
  <c r="C68" i="2"/>
  <c r="B65" i="2"/>
  <c r="F61" i="2"/>
  <c r="E58" i="2"/>
  <c r="D55" i="2"/>
  <c r="C52" i="2"/>
  <c r="B49" i="2"/>
  <c r="F45" i="2"/>
  <c r="E42" i="2"/>
  <c r="D39" i="2"/>
  <c r="C36" i="2"/>
  <c r="B33" i="2"/>
  <c r="B29" i="2"/>
  <c r="F25" i="2"/>
  <c r="F21" i="2"/>
  <c r="E117" i="2"/>
  <c r="D114" i="2"/>
  <c r="C111" i="2"/>
  <c r="B108" i="2"/>
  <c r="F104" i="2"/>
  <c r="E101" i="2"/>
  <c r="D98" i="2"/>
  <c r="C95" i="2"/>
  <c r="B92" i="2"/>
  <c r="F88" i="2"/>
  <c r="E85" i="2"/>
  <c r="D82" i="2"/>
  <c r="C79" i="2"/>
  <c r="B76" i="2"/>
  <c r="F72" i="2"/>
  <c r="E69" i="2"/>
  <c r="D66" i="2"/>
  <c r="C63" i="2"/>
  <c r="B60" i="2"/>
  <c r="F56" i="2"/>
  <c r="E53" i="2"/>
  <c r="D50" i="2"/>
  <c r="C47" i="2"/>
  <c r="B44" i="2"/>
  <c r="F40" i="2"/>
  <c r="E37" i="2"/>
  <c r="D34" i="2"/>
  <c r="D30" i="2"/>
  <c r="D26" i="2"/>
  <c r="D22" i="2"/>
  <c r="C118" i="2"/>
  <c r="B115" i="2"/>
  <c r="F111" i="2"/>
  <c r="E108" i="2"/>
  <c r="D105" i="2"/>
  <c r="C102" i="2"/>
  <c r="B99" i="2"/>
  <c r="F95" i="2"/>
  <c r="E92" i="2"/>
  <c r="D89" i="2"/>
  <c r="C86" i="2"/>
  <c r="B83" i="2"/>
  <c r="F79" i="2"/>
  <c r="E76" i="2"/>
  <c r="D73" i="2"/>
  <c r="C70" i="2"/>
  <c r="B67" i="2"/>
  <c r="F63" i="2"/>
  <c r="E60" i="2"/>
  <c r="D57" i="2"/>
  <c r="C54" i="2"/>
  <c r="B51" i="2"/>
  <c r="F47" i="2"/>
  <c r="E44" i="2"/>
  <c r="D41" i="2"/>
  <c r="C38" i="2"/>
  <c r="B35" i="2"/>
  <c r="B31" i="2"/>
  <c r="B27" i="2"/>
  <c r="B23" i="2"/>
  <c r="B40" i="2"/>
  <c r="E21" i="2"/>
  <c r="C114" i="2"/>
  <c r="F107" i="2"/>
  <c r="D101" i="2"/>
  <c r="B95" i="2"/>
  <c r="B118" i="2"/>
  <c r="F114" i="2"/>
  <c r="E111" i="2"/>
  <c r="D108" i="2"/>
  <c r="C105" i="2"/>
  <c r="B102" i="2"/>
  <c r="F98" i="2"/>
  <c r="E95" i="2"/>
  <c r="D92" i="2"/>
  <c r="C89" i="2"/>
  <c r="B86" i="2"/>
  <c r="F82" i="2"/>
  <c r="E79" i="2"/>
  <c r="D76" i="2"/>
  <c r="C73" i="2"/>
  <c r="B70" i="2"/>
  <c r="F66" i="2"/>
  <c r="E63" i="2"/>
  <c r="D60" i="2"/>
  <c r="C57" i="2"/>
  <c r="B54" i="2"/>
  <c r="F50" i="2"/>
  <c r="E47" i="2"/>
  <c r="D44" i="2"/>
  <c r="C41" i="2"/>
  <c r="B38" i="2"/>
  <c r="F34" i="2"/>
  <c r="F30" i="2"/>
  <c r="F26" i="2"/>
  <c r="F22" i="2"/>
  <c r="E118" i="2"/>
  <c r="D115" i="2"/>
  <c r="C112" i="2"/>
  <c r="B109" i="2"/>
  <c r="F105" i="2"/>
  <c r="E102" i="2"/>
  <c r="D99" i="2"/>
  <c r="C96" i="2"/>
  <c r="B93" i="2"/>
  <c r="F89" i="2"/>
  <c r="E86" i="2"/>
  <c r="D83" i="2"/>
  <c r="C80" i="2"/>
  <c r="B77" i="2"/>
  <c r="F73" i="2"/>
  <c r="E70" i="2"/>
  <c r="D67" i="2"/>
  <c r="C64" i="2"/>
  <c r="B61" i="2"/>
  <c r="F57" i="2"/>
  <c r="E54" i="2"/>
  <c r="D51" i="2"/>
  <c r="C48" i="2"/>
  <c r="B45" i="2"/>
  <c r="F41" i="2"/>
  <c r="E38" i="2"/>
  <c r="D35" i="2"/>
  <c r="D31" i="2"/>
  <c r="C28" i="2"/>
  <c r="B25" i="2"/>
  <c r="B21" i="2"/>
  <c r="F116" i="2"/>
  <c r="E113" i="2"/>
  <c r="D110" i="2"/>
  <c r="C107" i="2"/>
  <c r="B104" i="2"/>
  <c r="F100" i="2"/>
  <c r="E97" i="2"/>
  <c r="D94" i="2"/>
  <c r="C91" i="2"/>
  <c r="B88" i="2"/>
  <c r="F84" i="2"/>
  <c r="E81" i="2"/>
  <c r="D78" i="2"/>
  <c r="C75" i="2"/>
  <c r="B72" i="2"/>
  <c r="F68" i="2"/>
  <c r="E65" i="2"/>
  <c r="D62" i="2"/>
  <c r="C59" i="2"/>
  <c r="B56" i="2"/>
  <c r="F52" i="2"/>
  <c r="E49" i="2"/>
  <c r="D46" i="2"/>
  <c r="C43" i="2"/>
  <c r="F36" i="2"/>
  <c r="E33" i="2"/>
  <c r="E29" i="2"/>
  <c r="E25" i="2"/>
  <c r="D117" i="2"/>
  <c r="B111" i="2"/>
  <c r="E104" i="2"/>
  <c r="C98" i="2"/>
  <c r="F91" i="2"/>
  <c r="C117" i="2"/>
  <c r="B114" i="2"/>
  <c r="F110" i="2"/>
  <c r="E107" i="2"/>
  <c r="D104" i="2"/>
  <c r="C101" i="2"/>
  <c r="B98" i="2"/>
  <c r="F94" i="2"/>
  <c r="E91" i="2"/>
  <c r="D88" i="2"/>
  <c r="C85" i="2"/>
  <c r="B82" i="2"/>
  <c r="F78" i="2"/>
  <c r="E75" i="2"/>
  <c r="D72" i="2"/>
  <c r="C69" i="2"/>
  <c r="B66" i="2"/>
  <c r="F62" i="2"/>
  <c r="E59" i="2"/>
  <c r="D56" i="2"/>
  <c r="C53" i="2"/>
  <c r="B50" i="2"/>
  <c r="F46" i="2"/>
  <c r="E43" i="2"/>
  <c r="D40" i="2"/>
  <c r="C37" i="2"/>
  <c r="B34" i="2"/>
  <c r="B30" i="2"/>
  <c r="B26" i="2"/>
  <c r="B22" i="2"/>
  <c r="F117" i="2"/>
  <c r="E114" i="2"/>
  <c r="D111" i="2"/>
  <c r="C108" i="2"/>
  <c r="B105" i="2"/>
  <c r="F101" i="2"/>
  <c r="E98" i="2"/>
  <c r="D95" i="2"/>
  <c r="C92" i="2"/>
  <c r="B89" i="2"/>
  <c r="F85" i="2"/>
  <c r="E82" i="2"/>
  <c r="D79" i="2"/>
  <c r="C76" i="2"/>
  <c r="B73" i="2"/>
  <c r="F69" i="2"/>
  <c r="E66" i="2"/>
  <c r="D63" i="2"/>
  <c r="C60" i="2"/>
  <c r="B57" i="2"/>
  <c r="F53" i="2"/>
  <c r="E50" i="2"/>
  <c r="D47" i="2"/>
  <c r="C44" i="2"/>
  <c r="B41" i="2"/>
  <c r="F37" i="2"/>
  <c r="E34" i="2"/>
  <c r="E30" i="2"/>
  <c r="D27" i="2"/>
  <c r="D23" i="2"/>
  <c r="D19" i="2"/>
  <c r="B116" i="2"/>
  <c r="F112" i="2"/>
  <c r="E109" i="2"/>
  <c r="D106" i="2"/>
  <c r="C103" i="2"/>
  <c r="B100" i="2"/>
  <c r="F96" i="2"/>
  <c r="E93" i="2"/>
  <c r="D90" i="2"/>
  <c r="C87" i="2"/>
  <c r="B84" i="2"/>
  <c r="F80" i="2"/>
  <c r="E77" i="2"/>
  <c r="D74" i="2"/>
  <c r="C71" i="2"/>
  <c r="B68" i="2"/>
  <c r="F64" i="2"/>
  <c r="E61" i="2"/>
  <c r="D58" i="2"/>
  <c r="C55" i="2"/>
  <c r="B52" i="2"/>
  <c r="F48" i="2"/>
  <c r="E45" i="2"/>
  <c r="D42" i="2"/>
  <c r="C39" i="2"/>
  <c r="B36" i="2"/>
  <c r="F32" i="2"/>
  <c r="F28" i="2"/>
  <c r="F24" i="2"/>
  <c r="F20" i="2"/>
  <c r="E116" i="2"/>
  <c r="D113" i="2"/>
  <c r="C110" i="2"/>
  <c r="B107" i="2"/>
  <c r="F103" i="2"/>
  <c r="E100" i="2"/>
  <c r="D97" i="2"/>
  <c r="C94" i="2"/>
  <c r="B91" i="2"/>
  <c r="F87" i="2"/>
  <c r="E84" i="2"/>
  <c r="D81" i="2"/>
  <c r="C78" i="2"/>
  <c r="B75" i="2"/>
  <c r="F71" i="2"/>
  <c r="E68" i="2"/>
  <c r="D65" i="2"/>
  <c r="C62" i="2"/>
  <c r="B59" i="2"/>
  <c r="F55" i="2"/>
  <c r="E52" i="2"/>
  <c r="D49" i="2"/>
  <c r="C46" i="2"/>
  <c r="B43" i="2"/>
  <c r="F39" i="2"/>
  <c r="E36" i="2"/>
  <c r="E32" i="2"/>
  <c r="E28" i="2"/>
  <c r="E24" i="2"/>
  <c r="E20" i="2"/>
  <c r="E41" i="2"/>
  <c r="B20" i="2"/>
  <c r="E112" i="2"/>
  <c r="C106" i="2"/>
  <c r="F99" i="2"/>
  <c r="D93" i="2"/>
  <c r="B87" i="2"/>
  <c r="E80" i="2"/>
  <c r="C74" i="2"/>
  <c r="F67" i="2"/>
  <c r="D61" i="2"/>
  <c r="B55" i="2"/>
  <c r="E48" i="2"/>
  <c r="C42" i="2"/>
  <c r="F35" i="2"/>
  <c r="F27" i="2"/>
  <c r="F19" i="2"/>
  <c r="D85" i="2"/>
  <c r="B79" i="2"/>
  <c r="E72" i="2"/>
  <c r="C66" i="2"/>
  <c r="F59" i="2"/>
  <c r="D53" i="2"/>
  <c r="B47" i="2"/>
  <c r="E40" i="2"/>
  <c r="D33" i="2"/>
  <c r="F83" i="2"/>
  <c r="D77" i="2"/>
  <c r="B71" i="2"/>
  <c r="E64" i="2"/>
  <c r="C58" i="2"/>
  <c r="F51" i="2"/>
  <c r="D45" i="2"/>
  <c r="B39" i="2"/>
  <c r="F31" i="2"/>
  <c r="F23" i="2"/>
  <c r="E88" i="2"/>
  <c r="C82" i="2"/>
  <c r="F75" i="2"/>
  <c r="D69" i="2"/>
  <c r="B63" i="2"/>
  <c r="E56" i="2"/>
  <c r="C50" i="2"/>
  <c r="F43" i="2"/>
  <c r="D37" i="2"/>
  <c r="D29" i="2"/>
  <c r="D21" i="2"/>
  <c r="D25" i="2"/>
  <c r="B19" i="2"/>
  <c r="X103" i="1"/>
  <c r="T103" i="1"/>
  <c r="U102" i="1"/>
  <c r="V101" i="1"/>
  <c r="W100" i="1"/>
  <c r="X99" i="1"/>
  <c r="T99" i="1"/>
  <c r="U98" i="1"/>
  <c r="V97" i="1"/>
  <c r="W96" i="1"/>
  <c r="X95" i="1"/>
  <c r="T95" i="1"/>
  <c r="U94" i="1"/>
  <c r="V93" i="1"/>
  <c r="W92" i="1"/>
  <c r="X91" i="1"/>
  <c r="T91" i="1"/>
  <c r="U90" i="1"/>
  <c r="V89" i="1"/>
  <c r="W88" i="1"/>
  <c r="X87" i="1"/>
  <c r="T87" i="1"/>
  <c r="U86" i="1"/>
  <c r="V85" i="1"/>
  <c r="W84" i="1"/>
  <c r="X83" i="1"/>
  <c r="T83" i="1"/>
  <c r="U82" i="1"/>
  <c r="V81" i="1"/>
  <c r="W80" i="1"/>
  <c r="X79" i="1"/>
  <c r="T79" i="1"/>
  <c r="U78" i="1"/>
  <c r="V77" i="1"/>
  <c r="W76" i="1"/>
  <c r="X75" i="1"/>
  <c r="T75" i="1"/>
  <c r="U74" i="1"/>
  <c r="V73" i="1"/>
  <c r="W72" i="1"/>
  <c r="X71" i="1"/>
  <c r="T71" i="1"/>
  <c r="U70" i="1"/>
  <c r="V69" i="1"/>
  <c r="W68" i="1"/>
  <c r="X67" i="1"/>
  <c r="T67" i="1"/>
  <c r="U66" i="1"/>
  <c r="V65" i="1"/>
  <c r="W64" i="1"/>
  <c r="X63" i="1"/>
  <c r="T63" i="1"/>
  <c r="U62" i="1"/>
  <c r="V61" i="1"/>
  <c r="W60" i="1"/>
  <c r="X59" i="1"/>
  <c r="T59" i="1"/>
  <c r="U58" i="1"/>
  <c r="V57" i="1"/>
  <c r="W56" i="1"/>
  <c r="X55" i="1"/>
  <c r="T55" i="1"/>
  <c r="U54" i="1"/>
  <c r="V53" i="1"/>
  <c r="W52" i="1"/>
  <c r="X51" i="1"/>
  <c r="T51" i="1"/>
  <c r="U50" i="1"/>
  <c r="V49" i="1"/>
  <c r="W48" i="1"/>
  <c r="X47" i="1"/>
  <c r="T47" i="1"/>
  <c r="U46" i="1"/>
  <c r="V45" i="1"/>
  <c r="W44" i="1"/>
  <c r="X43" i="1"/>
  <c r="T43" i="1"/>
  <c r="U42" i="1"/>
  <c r="V41" i="1"/>
  <c r="W40" i="1"/>
  <c r="X39" i="1"/>
  <c r="T39" i="1"/>
  <c r="U38" i="1"/>
  <c r="V37" i="1"/>
  <c r="W36" i="1"/>
  <c r="X35" i="1"/>
  <c r="T35" i="1"/>
  <c r="U34" i="1"/>
  <c r="V33" i="1"/>
  <c r="W32" i="1"/>
  <c r="X31" i="1"/>
  <c r="T31" i="1"/>
  <c r="U30" i="1"/>
  <c r="V29" i="1"/>
  <c r="W28" i="1"/>
  <c r="X27" i="1"/>
  <c r="T27" i="1"/>
  <c r="U26" i="1"/>
  <c r="V25" i="1"/>
  <c r="W24" i="1"/>
  <c r="X23" i="1"/>
  <c r="T23" i="1"/>
  <c r="U22" i="1"/>
  <c r="V21" i="1"/>
  <c r="W20" i="1"/>
  <c r="X19" i="1"/>
  <c r="T19" i="1"/>
  <c r="U18" i="1"/>
  <c r="V17" i="1"/>
  <c r="W16" i="1"/>
  <c r="X15" i="1"/>
  <c r="T15" i="1"/>
  <c r="U14" i="1"/>
  <c r="V13" i="1"/>
  <c r="W12" i="1"/>
  <c r="X11" i="1"/>
  <c r="T11" i="1"/>
  <c r="U10" i="1"/>
  <c r="V9" i="1"/>
  <c r="W8" i="1"/>
  <c r="X7" i="1"/>
  <c r="T7" i="1"/>
  <c r="U6" i="1"/>
  <c r="V5" i="1"/>
  <c r="W4" i="1"/>
  <c r="W103" i="1"/>
  <c r="X102" i="1"/>
  <c r="T102" i="1"/>
  <c r="U101" i="1"/>
  <c r="V100" i="1"/>
  <c r="W99" i="1"/>
  <c r="X98" i="1"/>
  <c r="T98" i="1"/>
  <c r="U97" i="1"/>
  <c r="V96" i="1"/>
  <c r="W95" i="1"/>
  <c r="X94" i="1"/>
  <c r="T94" i="1"/>
  <c r="U93" i="1"/>
  <c r="V92" i="1"/>
  <c r="W91" i="1"/>
  <c r="X90" i="1"/>
  <c r="T90" i="1"/>
  <c r="U89" i="1"/>
  <c r="V88" i="1"/>
  <c r="W87" i="1"/>
  <c r="X86" i="1"/>
  <c r="T86" i="1"/>
  <c r="U85" i="1"/>
  <c r="V84" i="1"/>
  <c r="W83" i="1"/>
  <c r="X82" i="1"/>
  <c r="T82" i="1"/>
  <c r="U81" i="1"/>
  <c r="V80" i="1"/>
  <c r="W79" i="1"/>
  <c r="X78" i="1"/>
  <c r="T78" i="1"/>
  <c r="U77" i="1"/>
  <c r="V76" i="1"/>
  <c r="W75" i="1"/>
  <c r="X74" i="1"/>
  <c r="T74" i="1"/>
  <c r="U73" i="1"/>
  <c r="V72" i="1"/>
  <c r="W71" i="1"/>
  <c r="X70" i="1"/>
  <c r="T70" i="1"/>
  <c r="U69" i="1"/>
  <c r="V68" i="1"/>
  <c r="W67" i="1"/>
  <c r="X66" i="1"/>
  <c r="T66" i="1"/>
  <c r="U65" i="1"/>
  <c r="V64" i="1"/>
  <c r="W63" i="1"/>
  <c r="X62" i="1"/>
  <c r="T62" i="1"/>
  <c r="U61" i="1"/>
  <c r="V60" i="1"/>
  <c r="W59" i="1"/>
  <c r="X58" i="1"/>
  <c r="T58" i="1"/>
  <c r="U57" i="1"/>
  <c r="V56" i="1"/>
  <c r="W55" i="1"/>
  <c r="X54" i="1"/>
  <c r="T54" i="1"/>
  <c r="U53" i="1"/>
  <c r="V52" i="1"/>
  <c r="W51" i="1"/>
  <c r="X50" i="1"/>
  <c r="T50" i="1"/>
  <c r="U49" i="1"/>
  <c r="V48" i="1"/>
  <c r="W47" i="1"/>
  <c r="X46" i="1"/>
  <c r="T46" i="1"/>
  <c r="U45" i="1"/>
  <c r="V44" i="1"/>
  <c r="W43" i="1"/>
  <c r="X42" i="1"/>
  <c r="T42" i="1"/>
  <c r="U41" i="1"/>
  <c r="V40" i="1"/>
  <c r="W39" i="1"/>
  <c r="X38" i="1"/>
  <c r="T38" i="1"/>
  <c r="U37" i="1"/>
  <c r="V36" i="1"/>
  <c r="W35" i="1"/>
  <c r="X34" i="1"/>
  <c r="T34" i="1"/>
  <c r="U33" i="1"/>
  <c r="V32" i="1"/>
  <c r="W31" i="1"/>
  <c r="X30" i="1"/>
  <c r="T30" i="1"/>
  <c r="U29" i="1"/>
  <c r="V28" i="1"/>
  <c r="W27" i="1"/>
  <c r="X26" i="1"/>
  <c r="T26" i="1"/>
  <c r="U25" i="1"/>
  <c r="V24" i="1"/>
  <c r="W23" i="1"/>
  <c r="X22" i="1"/>
  <c r="T22" i="1"/>
  <c r="U21" i="1"/>
  <c r="V20" i="1"/>
  <c r="W19" i="1"/>
  <c r="X18" i="1"/>
  <c r="T18" i="1"/>
  <c r="U17" i="1"/>
  <c r="V16" i="1"/>
  <c r="W15" i="1"/>
  <c r="X14" i="1"/>
  <c r="T14" i="1"/>
  <c r="U13" i="1"/>
  <c r="V12" i="1"/>
  <c r="W11" i="1"/>
  <c r="X10" i="1"/>
  <c r="T10" i="1"/>
  <c r="U9" i="1"/>
  <c r="V8" i="1"/>
  <c r="W7" i="1"/>
  <c r="X6" i="1"/>
  <c r="T6" i="1"/>
  <c r="U5" i="1"/>
  <c r="V4" i="1"/>
  <c r="V103" i="1"/>
  <c r="W102" i="1"/>
  <c r="X101" i="1"/>
  <c r="T101" i="1"/>
  <c r="U100" i="1"/>
  <c r="V99" i="1"/>
  <c r="W98" i="1"/>
  <c r="X97" i="1"/>
  <c r="T97" i="1"/>
  <c r="U96" i="1"/>
  <c r="V95" i="1"/>
  <c r="W94" i="1"/>
  <c r="X93" i="1"/>
  <c r="T93" i="1"/>
  <c r="U92" i="1"/>
  <c r="V91" i="1"/>
  <c r="W90" i="1"/>
  <c r="X89" i="1"/>
  <c r="T89" i="1"/>
  <c r="U88" i="1"/>
  <c r="V87" i="1"/>
  <c r="W86" i="1"/>
  <c r="X85" i="1"/>
  <c r="T85" i="1"/>
  <c r="U84" i="1"/>
  <c r="V83" i="1"/>
  <c r="W82" i="1"/>
  <c r="X81" i="1"/>
  <c r="T81" i="1"/>
  <c r="U80" i="1"/>
  <c r="V79" i="1"/>
  <c r="W78" i="1"/>
  <c r="X77" i="1"/>
  <c r="T77" i="1"/>
  <c r="U76" i="1"/>
  <c r="V75" i="1"/>
  <c r="W74" i="1"/>
  <c r="X73" i="1"/>
  <c r="T73" i="1"/>
  <c r="U72" i="1"/>
  <c r="V71" i="1"/>
  <c r="W70" i="1"/>
  <c r="X69" i="1"/>
  <c r="T69" i="1"/>
  <c r="U68" i="1"/>
  <c r="V67" i="1"/>
  <c r="W66" i="1"/>
  <c r="X65" i="1"/>
  <c r="T65" i="1"/>
  <c r="U64" i="1"/>
  <c r="V63" i="1"/>
  <c r="W62" i="1"/>
  <c r="X61" i="1"/>
  <c r="T61" i="1"/>
  <c r="U60" i="1"/>
  <c r="V59" i="1"/>
  <c r="W58" i="1"/>
  <c r="X57" i="1"/>
  <c r="T57" i="1"/>
  <c r="U56" i="1"/>
  <c r="V55" i="1"/>
  <c r="W54" i="1"/>
  <c r="X53" i="1"/>
  <c r="T53" i="1"/>
  <c r="U52" i="1"/>
  <c r="V51" i="1"/>
  <c r="W50" i="1"/>
  <c r="X49" i="1"/>
  <c r="T49" i="1"/>
  <c r="U48" i="1"/>
  <c r="V47" i="1"/>
  <c r="W46" i="1"/>
  <c r="X45" i="1"/>
  <c r="T45" i="1"/>
  <c r="U44" i="1"/>
  <c r="V43" i="1"/>
  <c r="W42" i="1"/>
  <c r="X41" i="1"/>
  <c r="T41" i="1"/>
  <c r="U40" i="1"/>
  <c r="V39" i="1"/>
  <c r="W38" i="1"/>
  <c r="X37" i="1"/>
  <c r="T37" i="1"/>
  <c r="U36" i="1"/>
  <c r="V35" i="1"/>
  <c r="W34" i="1"/>
  <c r="X33" i="1"/>
  <c r="T33" i="1"/>
  <c r="U32" i="1"/>
  <c r="V31" i="1"/>
  <c r="W30" i="1"/>
  <c r="X29" i="1"/>
  <c r="T29" i="1"/>
  <c r="U28" i="1"/>
  <c r="V27" i="1"/>
  <c r="W26" i="1"/>
  <c r="X25" i="1"/>
  <c r="T25" i="1"/>
  <c r="U24" i="1"/>
  <c r="V23" i="1"/>
  <c r="W22" i="1"/>
  <c r="X21" i="1"/>
  <c r="T21" i="1"/>
  <c r="U20" i="1"/>
  <c r="V19" i="1"/>
  <c r="W18" i="1"/>
  <c r="X17" i="1"/>
  <c r="T17" i="1"/>
  <c r="U16" i="1"/>
  <c r="V15" i="1"/>
  <c r="W14" i="1"/>
  <c r="X13" i="1"/>
  <c r="T13" i="1"/>
  <c r="U12" i="1"/>
  <c r="V11" i="1"/>
  <c r="W10" i="1"/>
  <c r="X9" i="1"/>
  <c r="T9" i="1"/>
  <c r="U8" i="1"/>
  <c r="V7" i="1"/>
  <c r="W6" i="1"/>
  <c r="X5" i="1"/>
  <c r="T5" i="1"/>
  <c r="U4" i="1"/>
  <c r="U103" i="1"/>
  <c r="V102" i="1"/>
  <c r="W101" i="1"/>
  <c r="X100" i="1"/>
  <c r="T100" i="1"/>
  <c r="U99" i="1"/>
  <c r="V98" i="1"/>
  <c r="W97" i="1"/>
  <c r="X96" i="1"/>
  <c r="T96" i="1"/>
  <c r="U95" i="1"/>
  <c r="V94" i="1"/>
  <c r="W93" i="1"/>
  <c r="X92" i="1"/>
  <c r="T92" i="1"/>
  <c r="U91" i="1"/>
  <c r="V90" i="1"/>
  <c r="W89" i="1"/>
  <c r="X88" i="1"/>
  <c r="T88" i="1"/>
  <c r="U87" i="1"/>
  <c r="V86" i="1"/>
  <c r="W85" i="1"/>
  <c r="X84" i="1"/>
  <c r="T84" i="1"/>
  <c r="U83" i="1"/>
  <c r="V82" i="1"/>
  <c r="W81" i="1"/>
  <c r="X80" i="1"/>
  <c r="T80" i="1"/>
  <c r="U79" i="1"/>
  <c r="V78" i="1"/>
  <c r="W77" i="1"/>
  <c r="X76" i="1"/>
  <c r="T76" i="1"/>
  <c r="U75" i="1"/>
  <c r="V74" i="1"/>
  <c r="W73" i="1"/>
  <c r="X72" i="1"/>
  <c r="T72" i="1"/>
  <c r="U71" i="1"/>
  <c r="V70" i="1"/>
  <c r="W69" i="1"/>
  <c r="X68" i="1"/>
  <c r="T68" i="1"/>
  <c r="U67" i="1"/>
  <c r="V66" i="1"/>
  <c r="W65" i="1"/>
  <c r="X64" i="1"/>
  <c r="T64" i="1"/>
  <c r="U63" i="1"/>
  <c r="V62" i="1"/>
  <c r="W61" i="1"/>
  <c r="X60" i="1"/>
  <c r="T60" i="1"/>
  <c r="U59" i="1"/>
  <c r="V58" i="1"/>
  <c r="W57" i="1"/>
  <c r="X56" i="1"/>
  <c r="T56" i="1"/>
  <c r="U55" i="1"/>
  <c r="V54" i="1"/>
  <c r="W53" i="1"/>
  <c r="X52" i="1"/>
  <c r="T52" i="1"/>
  <c r="U51" i="1"/>
  <c r="V50" i="1"/>
  <c r="W49" i="1"/>
  <c r="X48" i="1"/>
  <c r="T48" i="1"/>
  <c r="U47" i="1"/>
  <c r="V46" i="1"/>
  <c r="W45" i="1"/>
  <c r="X44" i="1"/>
  <c r="T44" i="1"/>
  <c r="U43" i="1"/>
  <c r="V42" i="1"/>
  <c r="W41" i="1"/>
  <c r="X40" i="1"/>
  <c r="T40" i="1"/>
  <c r="U39" i="1"/>
  <c r="V38" i="1"/>
  <c r="W37" i="1"/>
  <c r="X36" i="1"/>
  <c r="T36" i="1"/>
  <c r="U35" i="1"/>
  <c r="V34" i="1"/>
  <c r="W33" i="1"/>
  <c r="X32" i="1"/>
  <c r="T32" i="1"/>
  <c r="U31" i="1"/>
  <c r="V30" i="1"/>
  <c r="W29" i="1"/>
  <c r="X28" i="1"/>
  <c r="T28" i="1"/>
  <c r="U27" i="1"/>
  <c r="V26" i="1"/>
  <c r="W25" i="1"/>
  <c r="X24" i="1"/>
  <c r="T24" i="1"/>
  <c r="U23" i="1"/>
  <c r="V22" i="1"/>
  <c r="W21" i="1"/>
  <c r="X20" i="1"/>
  <c r="T20" i="1"/>
  <c r="U19" i="1"/>
  <c r="V18" i="1"/>
  <c r="W17" i="1"/>
  <c r="X16" i="1"/>
  <c r="T16" i="1"/>
  <c r="U15" i="1"/>
  <c r="V14" i="1"/>
  <c r="W13" i="1"/>
  <c r="X12" i="1"/>
  <c r="T12" i="1"/>
  <c r="U11" i="1"/>
  <c r="V10" i="1"/>
  <c r="W9" i="1"/>
  <c r="X8" i="1"/>
  <c r="T8" i="1"/>
  <c r="U7" i="1"/>
  <c r="V6" i="1"/>
  <c r="W5" i="1"/>
  <c r="X4" i="1"/>
  <c r="T4" i="1"/>
  <c r="AK4" i="1"/>
  <c r="AJ4" i="1"/>
  <c r="AI4" i="1"/>
  <c r="AH4" i="1"/>
  <c r="AG4" i="1"/>
  <c r="AK103" i="1"/>
  <c r="AG103" i="1"/>
  <c r="AH102" i="1"/>
  <c r="AI101" i="1"/>
  <c r="AJ100" i="1"/>
  <c r="AK99" i="1"/>
  <c r="AG99" i="1"/>
  <c r="AH98" i="1"/>
  <c r="AI97" i="1"/>
  <c r="AJ96" i="1"/>
  <c r="AK95" i="1"/>
  <c r="AG95" i="1"/>
  <c r="AH94" i="1"/>
  <c r="AI93" i="1"/>
  <c r="AJ92" i="1"/>
  <c r="AK91" i="1"/>
  <c r="AG91" i="1"/>
  <c r="AH90" i="1"/>
  <c r="AI89" i="1"/>
  <c r="AJ88" i="1"/>
  <c r="AK87" i="1"/>
  <c r="AG87" i="1"/>
  <c r="AH86" i="1"/>
  <c r="AI85" i="1"/>
  <c r="AJ84" i="1"/>
  <c r="AK83" i="1"/>
  <c r="AG83" i="1"/>
  <c r="AH82" i="1"/>
  <c r="AI81" i="1"/>
  <c r="AJ80" i="1"/>
  <c r="AK79" i="1"/>
  <c r="AG79" i="1"/>
  <c r="AH78" i="1"/>
  <c r="AI77" i="1"/>
  <c r="AJ76" i="1"/>
  <c r="AK75" i="1"/>
  <c r="AG75" i="1"/>
  <c r="AH74" i="1"/>
  <c r="AI73" i="1"/>
  <c r="AJ72" i="1"/>
  <c r="AK71" i="1"/>
  <c r="AG71" i="1"/>
  <c r="AH70" i="1"/>
  <c r="AI69" i="1"/>
  <c r="AJ68" i="1"/>
  <c r="AK67" i="1"/>
  <c r="AG67" i="1"/>
  <c r="AH66" i="1"/>
  <c r="AI65" i="1"/>
  <c r="AJ64" i="1"/>
  <c r="AK63" i="1"/>
  <c r="AG63" i="1"/>
  <c r="AH62" i="1"/>
  <c r="AI61" i="1"/>
  <c r="AJ60" i="1"/>
  <c r="AK59" i="1"/>
  <c r="AG59" i="1"/>
  <c r="AH58" i="1"/>
  <c r="AI57" i="1"/>
  <c r="AJ56" i="1"/>
  <c r="AK55" i="1"/>
  <c r="AG55" i="1"/>
  <c r="AH54" i="1"/>
  <c r="AI53" i="1"/>
  <c r="AJ52" i="1"/>
  <c r="AK51" i="1"/>
  <c r="AG51" i="1"/>
  <c r="AH50" i="1"/>
  <c r="AI49" i="1"/>
  <c r="AJ48" i="1"/>
  <c r="AK47" i="1"/>
  <c r="AG47" i="1"/>
  <c r="AH46" i="1"/>
  <c r="AI45" i="1"/>
  <c r="AJ44" i="1"/>
  <c r="AK43" i="1"/>
  <c r="AG43" i="1"/>
  <c r="AH42" i="1"/>
  <c r="AI41" i="1"/>
  <c r="AJ40" i="1"/>
  <c r="AK39" i="1"/>
  <c r="AG39" i="1"/>
  <c r="AH38" i="1"/>
  <c r="AI37" i="1"/>
  <c r="AJ36" i="1"/>
  <c r="AK35" i="1"/>
  <c r="AG35" i="1"/>
  <c r="AH34" i="1"/>
  <c r="AI33" i="1"/>
  <c r="AJ32" i="1"/>
  <c r="AK31" i="1"/>
  <c r="AG31" i="1"/>
  <c r="AH30" i="1"/>
  <c r="AI29" i="1"/>
  <c r="AJ28" i="1"/>
  <c r="AK27" i="1"/>
  <c r="AG27" i="1"/>
  <c r="AH26" i="1"/>
  <c r="AI25" i="1"/>
  <c r="AJ24" i="1"/>
  <c r="AK23" i="1"/>
  <c r="AG23" i="1"/>
  <c r="AH22" i="1"/>
  <c r="AI21" i="1"/>
  <c r="AJ20" i="1"/>
  <c r="AK19" i="1"/>
  <c r="AG19" i="1"/>
  <c r="AH18" i="1"/>
  <c r="AI17" i="1"/>
  <c r="AJ16" i="1"/>
  <c r="AK15" i="1"/>
  <c r="AG15" i="1"/>
  <c r="AH14" i="1"/>
  <c r="AI13" i="1"/>
  <c r="AJ12" i="1"/>
  <c r="AK11" i="1"/>
  <c r="AG11" i="1"/>
  <c r="AH10" i="1"/>
  <c r="AI9" i="1"/>
  <c r="AJ8" i="1"/>
  <c r="AK7" i="1"/>
  <c r="AG7" i="1"/>
  <c r="AH6" i="1"/>
  <c r="AI5" i="1"/>
  <c r="AJ103" i="1"/>
  <c r="AK102" i="1"/>
  <c r="AG102" i="1"/>
  <c r="AH101" i="1"/>
  <c r="AI100" i="1"/>
  <c r="AJ99" i="1"/>
  <c r="AK98" i="1"/>
  <c r="AG98" i="1"/>
  <c r="AH97" i="1"/>
  <c r="AI96" i="1"/>
  <c r="AJ95" i="1"/>
  <c r="AK94" i="1"/>
  <c r="AG94" i="1"/>
  <c r="AH93" i="1"/>
  <c r="AI92" i="1"/>
  <c r="AJ91" i="1"/>
  <c r="AK90" i="1"/>
  <c r="AG90" i="1"/>
  <c r="AH89" i="1"/>
  <c r="AI88" i="1"/>
  <c r="AJ87" i="1"/>
  <c r="AK86" i="1"/>
  <c r="AG86" i="1"/>
  <c r="AH85" i="1"/>
  <c r="AI84" i="1"/>
  <c r="AJ83" i="1"/>
  <c r="AK82" i="1"/>
  <c r="AG82" i="1"/>
  <c r="AH81" i="1"/>
  <c r="AI80" i="1"/>
  <c r="AJ79" i="1"/>
  <c r="AK78" i="1"/>
  <c r="AG78" i="1"/>
  <c r="AH77" i="1"/>
  <c r="AI76" i="1"/>
  <c r="AJ75" i="1"/>
  <c r="AK74" i="1"/>
  <c r="AG74" i="1"/>
  <c r="AH73" i="1"/>
  <c r="AI72" i="1"/>
  <c r="AJ71" i="1"/>
  <c r="AK70" i="1"/>
  <c r="AG70" i="1"/>
  <c r="AH69" i="1"/>
  <c r="AI68" i="1"/>
  <c r="AJ67" i="1"/>
  <c r="AK66" i="1"/>
  <c r="AG66" i="1"/>
  <c r="AH65" i="1"/>
  <c r="AI64" i="1"/>
  <c r="AJ63" i="1"/>
  <c r="AK62" i="1"/>
  <c r="AG62" i="1"/>
  <c r="AH61" i="1"/>
  <c r="AI60" i="1"/>
  <c r="AJ59" i="1"/>
  <c r="AK58" i="1"/>
  <c r="AG58" i="1"/>
  <c r="AH57" i="1"/>
  <c r="AI56" i="1"/>
  <c r="AJ55" i="1"/>
  <c r="AK54" i="1"/>
  <c r="AG54" i="1"/>
  <c r="AH53" i="1"/>
  <c r="AI52" i="1"/>
  <c r="AJ51" i="1"/>
  <c r="AK50" i="1"/>
  <c r="AG50" i="1"/>
  <c r="AH49" i="1"/>
  <c r="AI48" i="1"/>
  <c r="AJ47" i="1"/>
  <c r="AK46" i="1"/>
  <c r="AG46" i="1"/>
  <c r="AH45" i="1"/>
  <c r="AI44" i="1"/>
  <c r="AJ43" i="1"/>
  <c r="AK42" i="1"/>
  <c r="AG42" i="1"/>
  <c r="AH41" i="1"/>
  <c r="AI40" i="1"/>
  <c r="AJ39" i="1"/>
  <c r="AK38" i="1"/>
  <c r="AG38" i="1"/>
  <c r="AH37" i="1"/>
  <c r="AI36" i="1"/>
  <c r="AJ35" i="1"/>
  <c r="AK34" i="1"/>
  <c r="AG34" i="1"/>
  <c r="AH33" i="1"/>
  <c r="AI32" i="1"/>
  <c r="AJ31" i="1"/>
  <c r="AK30" i="1"/>
  <c r="AG30" i="1"/>
  <c r="AH29" i="1"/>
  <c r="AI28" i="1"/>
  <c r="AJ27" i="1"/>
  <c r="AK26" i="1"/>
  <c r="AG26" i="1"/>
  <c r="AH25" i="1"/>
  <c r="AI24" i="1"/>
  <c r="AJ23" i="1"/>
  <c r="AK22" i="1"/>
  <c r="AG22" i="1"/>
  <c r="AH21" i="1"/>
  <c r="AI20" i="1"/>
  <c r="AJ19" i="1"/>
  <c r="AK18" i="1"/>
  <c r="AG18" i="1"/>
  <c r="AH17" i="1"/>
  <c r="AI16" i="1"/>
  <c r="AJ15" i="1"/>
  <c r="AK14" i="1"/>
  <c r="AG14" i="1"/>
  <c r="AH13" i="1"/>
  <c r="AI12" i="1"/>
  <c r="AJ11" i="1"/>
  <c r="AK10" i="1"/>
  <c r="AG10" i="1"/>
  <c r="AH9" i="1"/>
  <c r="AI8" i="1"/>
  <c r="AJ7" i="1"/>
  <c r="AK6" i="1"/>
  <c r="AG6" i="1"/>
  <c r="AH5" i="1"/>
  <c r="AI103" i="1"/>
  <c r="AJ102" i="1"/>
  <c r="AK101" i="1"/>
  <c r="AG101" i="1"/>
  <c r="AH100" i="1"/>
  <c r="AI99" i="1"/>
  <c r="AJ98" i="1"/>
  <c r="AK97" i="1"/>
  <c r="AG97" i="1"/>
  <c r="AH96" i="1"/>
  <c r="AI95" i="1"/>
  <c r="AJ94" i="1"/>
  <c r="AK93" i="1"/>
  <c r="AG93" i="1"/>
  <c r="AH92" i="1"/>
  <c r="AI91" i="1"/>
  <c r="AJ90" i="1"/>
  <c r="AK89" i="1"/>
  <c r="AG89" i="1"/>
  <c r="AH88" i="1"/>
  <c r="AI87" i="1"/>
  <c r="AJ86" i="1"/>
  <c r="AK85" i="1"/>
  <c r="AG85" i="1"/>
  <c r="AH84" i="1"/>
  <c r="AI83" i="1"/>
  <c r="AJ82" i="1"/>
  <c r="AK81" i="1"/>
  <c r="AG81" i="1"/>
  <c r="AH80" i="1"/>
  <c r="AI79" i="1"/>
  <c r="AJ78" i="1"/>
  <c r="AK77" i="1"/>
  <c r="AG77" i="1"/>
  <c r="AH76" i="1"/>
  <c r="AI75" i="1"/>
  <c r="AJ74" i="1"/>
  <c r="AK73" i="1"/>
  <c r="AG73" i="1"/>
  <c r="AH72" i="1"/>
  <c r="AI71" i="1"/>
  <c r="AJ70" i="1"/>
  <c r="AK69" i="1"/>
  <c r="AG69" i="1"/>
  <c r="AH68" i="1"/>
  <c r="AI67" i="1"/>
  <c r="AJ66" i="1"/>
  <c r="AK65" i="1"/>
  <c r="AG65" i="1"/>
  <c r="AH64" i="1"/>
  <c r="AI63" i="1"/>
  <c r="AJ62" i="1"/>
  <c r="AK61" i="1"/>
  <c r="AG61" i="1"/>
  <c r="AH60" i="1"/>
  <c r="AI59" i="1"/>
  <c r="AJ58" i="1"/>
  <c r="AK57" i="1"/>
  <c r="AG57" i="1"/>
  <c r="AH56" i="1"/>
  <c r="AI55" i="1"/>
  <c r="AJ54" i="1"/>
  <c r="AK53" i="1"/>
  <c r="AG53" i="1"/>
  <c r="AH52" i="1"/>
  <c r="AI51" i="1"/>
  <c r="AJ50" i="1"/>
  <c r="AK49" i="1"/>
  <c r="AG49" i="1"/>
  <c r="AH48" i="1"/>
  <c r="AI47" i="1"/>
  <c r="AJ46" i="1"/>
  <c r="AK45" i="1"/>
  <c r="AG45" i="1"/>
  <c r="AH44" i="1"/>
  <c r="AI43" i="1"/>
  <c r="AJ42" i="1"/>
  <c r="AK41" i="1"/>
  <c r="AG41" i="1"/>
  <c r="AH40" i="1"/>
  <c r="AI39" i="1"/>
  <c r="AJ38" i="1"/>
  <c r="AK37" i="1"/>
  <c r="AG37" i="1"/>
  <c r="AH36" i="1"/>
  <c r="AI35" i="1"/>
  <c r="AJ34" i="1"/>
  <c r="AK33" i="1"/>
  <c r="AG33" i="1"/>
  <c r="AH32" i="1"/>
  <c r="AI31" i="1"/>
  <c r="AJ30" i="1"/>
  <c r="AK29" i="1"/>
  <c r="AG29" i="1"/>
  <c r="AH28" i="1"/>
  <c r="AI27" i="1"/>
  <c r="AJ26" i="1"/>
  <c r="AK25" i="1"/>
  <c r="AG25" i="1"/>
  <c r="AH24" i="1"/>
  <c r="AI23" i="1"/>
  <c r="AJ22" i="1"/>
  <c r="AK21" i="1"/>
  <c r="AG21" i="1"/>
  <c r="AH20" i="1"/>
  <c r="AI19" i="1"/>
  <c r="AJ18" i="1"/>
  <c r="AK17" i="1"/>
  <c r="AG17" i="1"/>
  <c r="AH16" i="1"/>
  <c r="AI15" i="1"/>
  <c r="AJ14" i="1"/>
  <c r="AK13" i="1"/>
  <c r="AG13" i="1"/>
  <c r="AH12" i="1"/>
  <c r="AI11" i="1"/>
  <c r="AJ10" i="1"/>
  <c r="AK9" i="1"/>
  <c r="AG9" i="1"/>
  <c r="AH8" i="1"/>
  <c r="AI7" i="1"/>
  <c r="AJ6" i="1"/>
  <c r="AK5" i="1"/>
  <c r="AG5" i="1"/>
  <c r="AH103" i="1"/>
  <c r="AI102" i="1"/>
  <c r="AJ101" i="1"/>
  <c r="AK100" i="1"/>
  <c r="AG100" i="1"/>
  <c r="AH99" i="1"/>
  <c r="AI98" i="1"/>
  <c r="AJ97" i="1"/>
  <c r="AK96" i="1"/>
  <c r="AG96" i="1"/>
  <c r="AH95" i="1"/>
  <c r="AI94" i="1"/>
  <c r="AJ93" i="1"/>
  <c r="AK92" i="1"/>
  <c r="AG92" i="1"/>
  <c r="AH91" i="1"/>
  <c r="AI90" i="1"/>
  <c r="AJ89" i="1"/>
  <c r="AK88" i="1"/>
  <c r="AG88" i="1"/>
  <c r="AH87" i="1"/>
  <c r="AI86" i="1"/>
  <c r="AJ85" i="1"/>
  <c r="AK84" i="1"/>
  <c r="AG84" i="1"/>
  <c r="AH83" i="1"/>
  <c r="AI82" i="1"/>
  <c r="AJ81" i="1"/>
  <c r="AK80" i="1"/>
  <c r="AG80" i="1"/>
  <c r="AH79" i="1"/>
  <c r="AI78" i="1"/>
  <c r="AJ77" i="1"/>
  <c r="AK76" i="1"/>
  <c r="AG76" i="1"/>
  <c r="AH75" i="1"/>
  <c r="AI74" i="1"/>
  <c r="AJ73" i="1"/>
  <c r="AK72" i="1"/>
  <c r="AG72" i="1"/>
  <c r="AH71" i="1"/>
  <c r="AI70" i="1"/>
  <c r="AJ69" i="1"/>
  <c r="AK68" i="1"/>
  <c r="AG68" i="1"/>
  <c r="AH67" i="1"/>
  <c r="AI66" i="1"/>
  <c r="AJ65" i="1"/>
  <c r="AK64" i="1"/>
  <c r="AG64" i="1"/>
  <c r="AH63" i="1"/>
  <c r="AI62" i="1"/>
  <c r="AJ61" i="1"/>
  <c r="AK60" i="1"/>
  <c r="AG60" i="1"/>
  <c r="AH59" i="1"/>
  <c r="AI58" i="1"/>
  <c r="AJ57" i="1"/>
  <c r="AK56" i="1"/>
  <c r="AG56" i="1"/>
  <c r="AH55" i="1"/>
  <c r="AI54" i="1"/>
  <c r="AJ53" i="1"/>
  <c r="AK52" i="1"/>
  <c r="AG52" i="1"/>
  <c r="AH51" i="1"/>
  <c r="AI50" i="1"/>
  <c r="AJ49" i="1"/>
  <c r="AK48" i="1"/>
  <c r="AG48" i="1"/>
  <c r="AH47" i="1"/>
  <c r="AI46" i="1"/>
  <c r="AJ45" i="1"/>
  <c r="AK44" i="1"/>
  <c r="AG44" i="1"/>
  <c r="AH43" i="1"/>
  <c r="AI42" i="1"/>
  <c r="AJ41" i="1"/>
  <c r="AK40" i="1"/>
  <c r="AG40" i="1"/>
  <c r="AH39" i="1"/>
  <c r="AI38" i="1"/>
  <c r="AJ37" i="1"/>
  <c r="AK36" i="1"/>
  <c r="AG36" i="1"/>
  <c r="AH35" i="1"/>
  <c r="AI34" i="1"/>
  <c r="AJ33" i="1"/>
  <c r="AK32" i="1"/>
  <c r="AG32" i="1"/>
  <c r="AH31" i="1"/>
  <c r="AI30" i="1"/>
  <c r="AJ29" i="1"/>
  <c r="AK28" i="1"/>
  <c r="AG28" i="1"/>
  <c r="AH27" i="1"/>
  <c r="AI26" i="1"/>
  <c r="AJ25" i="1"/>
  <c r="AK24" i="1"/>
  <c r="AG24" i="1"/>
  <c r="AH23" i="1"/>
  <c r="AI22" i="1"/>
  <c r="AJ21" i="1"/>
  <c r="AK20" i="1"/>
  <c r="AG20" i="1"/>
  <c r="AH19" i="1"/>
  <c r="AI18" i="1"/>
  <c r="AJ17" i="1"/>
  <c r="AK16" i="1"/>
  <c r="AG16" i="1"/>
  <c r="AH15" i="1"/>
  <c r="AI14" i="1"/>
  <c r="AJ13" i="1"/>
  <c r="AK12" i="1"/>
  <c r="AG12" i="1"/>
  <c r="AH11" i="1"/>
  <c r="AI10" i="1"/>
  <c r="AJ9" i="1"/>
  <c r="AK8" i="1"/>
  <c r="AG8" i="1"/>
  <c r="AH7" i="1"/>
  <c r="AI6" i="1"/>
  <c r="AJ5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X27" i="1"/>
  <c r="AX36" i="1"/>
  <c r="AX39" i="1"/>
  <c r="AX42" i="1"/>
  <c r="AX46" i="1"/>
  <c r="AX49" i="1"/>
  <c r="AX53" i="1"/>
  <c r="AX56" i="1"/>
  <c r="AX60" i="1"/>
  <c r="AX64" i="1"/>
  <c r="AX67" i="1"/>
  <c r="AX70" i="1"/>
  <c r="AX73" i="1"/>
  <c r="AX76" i="1"/>
  <c r="AX79" i="1"/>
  <c r="AX83" i="1"/>
  <c r="AX87" i="1"/>
  <c r="AX90" i="1"/>
  <c r="AX93" i="1"/>
  <c r="AX96" i="1"/>
  <c r="AX101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X26" i="1"/>
  <c r="AX28" i="1"/>
  <c r="AX30" i="1"/>
  <c r="AX32" i="1"/>
  <c r="AX34" i="1"/>
  <c r="AX37" i="1"/>
  <c r="AX41" i="1"/>
  <c r="AX43" i="1"/>
  <c r="AX45" i="1"/>
  <c r="AX48" i="1"/>
  <c r="AX51" i="1"/>
  <c r="AX54" i="1"/>
  <c r="AX57" i="1"/>
  <c r="AX59" i="1"/>
  <c r="AX62" i="1"/>
  <c r="AX65" i="1"/>
  <c r="AX68" i="1"/>
  <c r="AX72" i="1"/>
  <c r="AX75" i="1"/>
  <c r="AX77" i="1"/>
  <c r="AX80" i="1"/>
  <c r="AX82" i="1"/>
  <c r="AX85" i="1"/>
  <c r="AX88" i="1"/>
  <c r="AX91" i="1"/>
  <c r="AX94" i="1"/>
  <c r="AX97" i="1"/>
  <c r="AX100" i="1"/>
  <c r="AX102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X25" i="1"/>
  <c r="AX29" i="1"/>
  <c r="AX31" i="1"/>
  <c r="AX33" i="1"/>
  <c r="AX35" i="1"/>
  <c r="AX38" i="1"/>
  <c r="AX40" i="1"/>
  <c r="AX44" i="1"/>
  <c r="AX47" i="1"/>
  <c r="AX50" i="1"/>
  <c r="AX52" i="1"/>
  <c r="AX55" i="1"/>
  <c r="AX58" i="1"/>
  <c r="AX61" i="1"/>
  <c r="AX63" i="1"/>
  <c r="AX66" i="1"/>
  <c r="AX69" i="1"/>
  <c r="AX71" i="1"/>
  <c r="AX74" i="1"/>
  <c r="AX78" i="1"/>
  <c r="AX81" i="1"/>
  <c r="AX84" i="1"/>
  <c r="AX86" i="1"/>
  <c r="AX89" i="1"/>
  <c r="AX92" i="1"/>
  <c r="AX95" i="1"/>
  <c r="AX98" i="1"/>
  <c r="AX99" i="1"/>
  <c r="AX103" i="1"/>
  <c r="I18" i="2" l="1" a="1"/>
  <c r="I30" i="2" s="1"/>
  <c r="P10" i="2"/>
  <c r="P11" i="2"/>
  <c r="R10" i="2"/>
  <c r="R11" i="2"/>
  <c r="S11" i="2"/>
  <c r="S10" i="2"/>
  <c r="T10" i="2"/>
  <c r="T11" i="2"/>
  <c r="Q11" i="2"/>
  <c r="Q10" i="2"/>
  <c r="I26" i="2"/>
  <c r="I58" i="2"/>
  <c r="I83" i="2"/>
  <c r="I45" i="2"/>
  <c r="I72" i="2"/>
  <c r="F11" i="2"/>
  <c r="F17" i="2" s="1"/>
  <c r="D11" i="2"/>
  <c r="D17" i="2" s="1"/>
  <c r="C11" i="2"/>
  <c r="C17" i="2" s="1"/>
  <c r="E11" i="2"/>
  <c r="E17" i="2" s="1"/>
  <c r="B11" i="2"/>
  <c r="B17" i="2" s="1"/>
  <c r="B10" i="2"/>
  <c r="C10" i="2"/>
  <c r="J18" i="2" a="1"/>
  <c r="J88" i="2" s="1"/>
  <c r="D10" i="2"/>
  <c r="K18" i="2" a="1"/>
  <c r="K88" i="2" s="1"/>
  <c r="E10" i="2"/>
  <c r="L18" i="2" a="1"/>
  <c r="L88" i="2" s="1"/>
  <c r="M18" i="2" a="1"/>
  <c r="M87" i="2" s="1"/>
  <c r="F10" i="2"/>
  <c r="K53" i="2"/>
  <c r="K85" i="2"/>
  <c r="K22" i="2"/>
  <c r="K30" i="2"/>
  <c r="K46" i="2"/>
  <c r="K50" i="2"/>
  <c r="K82" i="2"/>
  <c r="K77" i="2"/>
  <c r="K19" i="2"/>
  <c r="K31" i="2"/>
  <c r="K35" i="2"/>
  <c r="K51" i="2"/>
  <c r="K79" i="2"/>
  <c r="K21" i="2"/>
  <c r="K29" i="2"/>
  <c r="K69" i="2"/>
  <c r="K20" i="2"/>
  <c r="K24" i="2"/>
  <c r="K44" i="2"/>
  <c r="K56" i="2"/>
  <c r="K72" i="2"/>
  <c r="Y18" i="2" a="1"/>
  <c r="Y48" i="2" s="1"/>
  <c r="Z18" i="2" a="1"/>
  <c r="Z48" i="2" s="1"/>
  <c r="AA18" i="2" a="1"/>
  <c r="AA48" i="2" s="1"/>
  <c r="W18" i="2" a="1"/>
  <c r="W18" i="2" s="1"/>
  <c r="X18" i="2" a="1"/>
  <c r="X48" i="2" s="1"/>
  <c r="Z29" i="2"/>
  <c r="Y21" i="2"/>
  <c r="Y37" i="2"/>
  <c r="Y22" i="2"/>
  <c r="Y38" i="2"/>
  <c r="Y23" i="2"/>
  <c r="Y39" i="2"/>
  <c r="Y24" i="2"/>
  <c r="Y40" i="2"/>
  <c r="AA4" i="1" a="1"/>
  <c r="AA4" i="1" s="1"/>
  <c r="AE4" i="1" a="1"/>
  <c r="AE25" i="1" s="1"/>
  <c r="AD4" i="1" a="1"/>
  <c r="AD25" i="1" s="1"/>
  <c r="AC4" i="1" a="1"/>
  <c r="AC25" i="1" s="1"/>
  <c r="AB4" i="1" a="1"/>
  <c r="AB25" i="1" s="1"/>
  <c r="AA19" i="1"/>
  <c r="AA11" i="1"/>
  <c r="AA7" i="1"/>
  <c r="AA14" i="1"/>
  <c r="AA10" i="1"/>
  <c r="AA6" i="1"/>
  <c r="AA17" i="1"/>
  <c r="AA13" i="1"/>
  <c r="AA5" i="1"/>
  <c r="AA20" i="1"/>
  <c r="AA12" i="1"/>
  <c r="AA8" i="1"/>
  <c r="AR4" i="1" a="1"/>
  <c r="AR25" i="1" s="1"/>
  <c r="AO4" i="1" a="1"/>
  <c r="AO25" i="1" s="1"/>
  <c r="AP4" i="1" a="1"/>
  <c r="AP25" i="1" s="1"/>
  <c r="AQ4" i="1" a="1"/>
  <c r="AQ4" i="1" s="1"/>
  <c r="AN4" i="1" a="1"/>
  <c r="AN4" i="1" s="1"/>
  <c r="G13" i="1"/>
  <c r="AA24" i="1" l="1"/>
  <c r="AA21" i="1"/>
  <c r="AA22" i="1"/>
  <c r="AA23" i="1"/>
  <c r="K40" i="2"/>
  <c r="K41" i="2"/>
  <c r="K63" i="2"/>
  <c r="K27" i="2"/>
  <c r="K62" i="2"/>
  <c r="K26" i="2"/>
  <c r="K45" i="2"/>
  <c r="I40" i="2"/>
  <c r="I51" i="2"/>
  <c r="S14" i="2"/>
  <c r="I77" i="2"/>
  <c r="I19" i="2"/>
  <c r="I10" i="2" s="1"/>
  <c r="Z28" i="2"/>
  <c r="R15" i="2"/>
  <c r="Y36" i="2"/>
  <c r="Y20" i="2"/>
  <c r="Y35" i="2"/>
  <c r="Y19" i="2"/>
  <c r="Y34" i="2"/>
  <c r="Y18" i="2"/>
  <c r="Y33" i="2"/>
  <c r="I68" i="2"/>
  <c r="I36" i="2"/>
  <c r="I73" i="2"/>
  <c r="I41" i="2"/>
  <c r="I79" i="2"/>
  <c r="I47" i="2"/>
  <c r="I86" i="2"/>
  <c r="I54" i="2"/>
  <c r="I22" i="2"/>
  <c r="Y32" i="2"/>
  <c r="Y47" i="2"/>
  <c r="Y31" i="2"/>
  <c r="Y46" i="2"/>
  <c r="Y30" i="2"/>
  <c r="Y45" i="2"/>
  <c r="Y29" i="2"/>
  <c r="Z20" i="2"/>
  <c r="K60" i="2"/>
  <c r="K28" i="2"/>
  <c r="K65" i="2"/>
  <c r="K83" i="2"/>
  <c r="K47" i="2"/>
  <c r="K23" i="2"/>
  <c r="K78" i="2"/>
  <c r="K34" i="2"/>
  <c r="K18" i="2"/>
  <c r="K25" i="2"/>
  <c r="I88" i="2"/>
  <c r="I56" i="2"/>
  <c r="I24" i="2"/>
  <c r="I61" i="2"/>
  <c r="I29" i="2"/>
  <c r="I67" i="2"/>
  <c r="I35" i="2"/>
  <c r="I74" i="2"/>
  <c r="I42" i="2"/>
  <c r="Y44" i="2"/>
  <c r="Y28" i="2"/>
  <c r="Y43" i="2"/>
  <c r="Y27" i="2"/>
  <c r="Y42" i="2"/>
  <c r="Y26" i="2"/>
  <c r="Y41" i="2"/>
  <c r="Y25" i="2"/>
  <c r="I84" i="2"/>
  <c r="I52" i="2"/>
  <c r="I20" i="2"/>
  <c r="I57" i="2"/>
  <c r="I25" i="2"/>
  <c r="I63" i="2"/>
  <c r="I31" i="2"/>
  <c r="I70" i="2"/>
  <c r="I38" i="2"/>
  <c r="S15" i="2"/>
  <c r="R14" i="2"/>
  <c r="I80" i="2"/>
  <c r="I64" i="2"/>
  <c r="I48" i="2"/>
  <c r="I32" i="2"/>
  <c r="I85" i="2"/>
  <c r="I69" i="2"/>
  <c r="I53" i="2"/>
  <c r="I37" i="2"/>
  <c r="I21" i="2"/>
  <c r="I75" i="2"/>
  <c r="I59" i="2"/>
  <c r="I43" i="2"/>
  <c r="I27" i="2"/>
  <c r="I82" i="2"/>
  <c r="I66" i="2"/>
  <c r="I50" i="2"/>
  <c r="I34" i="2"/>
  <c r="I18" i="2"/>
  <c r="R13" i="2"/>
  <c r="R12" i="2"/>
  <c r="S13" i="2"/>
  <c r="I76" i="2"/>
  <c r="I60" i="2"/>
  <c r="I44" i="2"/>
  <c r="I28" i="2"/>
  <c r="I81" i="2"/>
  <c r="I65" i="2"/>
  <c r="I49" i="2"/>
  <c r="I11" i="2" s="1"/>
  <c r="I33" i="2"/>
  <c r="I87" i="2"/>
  <c r="I71" i="2"/>
  <c r="I55" i="2"/>
  <c r="I39" i="2"/>
  <c r="I23" i="2"/>
  <c r="I78" i="2"/>
  <c r="I62" i="2"/>
  <c r="I46" i="2"/>
  <c r="S12" i="2"/>
  <c r="Z33" i="2"/>
  <c r="Q12" i="2"/>
  <c r="Q15" i="2"/>
  <c r="Q13" i="2"/>
  <c r="Q14" i="2"/>
  <c r="T14" i="2"/>
  <c r="T13" i="2"/>
  <c r="T15" i="2"/>
  <c r="T12" i="2"/>
  <c r="P14" i="2"/>
  <c r="P13" i="2"/>
  <c r="P15" i="2"/>
  <c r="P12" i="2"/>
  <c r="Z46" i="2"/>
  <c r="Z42" i="2"/>
  <c r="F14" i="2"/>
  <c r="F15" i="2"/>
  <c r="F13" i="2"/>
  <c r="F12" i="2"/>
  <c r="E12" i="2"/>
  <c r="E13" i="2"/>
  <c r="E14" i="2"/>
  <c r="E15" i="2"/>
  <c r="D13" i="2"/>
  <c r="D12" i="2"/>
  <c r="D15" i="2"/>
  <c r="D14" i="2"/>
  <c r="C15" i="2"/>
  <c r="C13" i="2"/>
  <c r="C12" i="2"/>
  <c r="C14" i="2"/>
  <c r="B14" i="2"/>
  <c r="B15" i="2"/>
  <c r="B12" i="2"/>
  <c r="B13" i="2"/>
  <c r="K76" i="2"/>
  <c r="K67" i="2"/>
  <c r="K66" i="2"/>
  <c r="J84" i="2"/>
  <c r="J68" i="2"/>
  <c r="J52" i="2"/>
  <c r="J36" i="2"/>
  <c r="J20" i="2"/>
  <c r="J75" i="2"/>
  <c r="J59" i="2"/>
  <c r="J43" i="2"/>
  <c r="J27" i="2"/>
  <c r="J82" i="2"/>
  <c r="J66" i="2"/>
  <c r="J50" i="2"/>
  <c r="J34" i="2"/>
  <c r="J18" i="2"/>
  <c r="J73" i="2"/>
  <c r="J57" i="2"/>
  <c r="J41" i="2"/>
  <c r="J25" i="2"/>
  <c r="J80" i="2"/>
  <c r="J64" i="2"/>
  <c r="J48" i="2"/>
  <c r="J32" i="2"/>
  <c r="J87" i="2"/>
  <c r="J71" i="2"/>
  <c r="J55" i="2"/>
  <c r="J39" i="2"/>
  <c r="J23" i="2"/>
  <c r="J78" i="2"/>
  <c r="J62" i="2"/>
  <c r="J46" i="2"/>
  <c r="J30" i="2"/>
  <c r="J85" i="2"/>
  <c r="J69" i="2"/>
  <c r="J53" i="2"/>
  <c r="J37" i="2"/>
  <c r="J21" i="2"/>
  <c r="J76" i="2"/>
  <c r="J60" i="2"/>
  <c r="J44" i="2"/>
  <c r="J28" i="2"/>
  <c r="J83" i="2"/>
  <c r="J67" i="2"/>
  <c r="J51" i="2"/>
  <c r="J35" i="2"/>
  <c r="J19" i="2"/>
  <c r="J74" i="2"/>
  <c r="J58" i="2"/>
  <c r="J42" i="2"/>
  <c r="J26" i="2"/>
  <c r="J81" i="2"/>
  <c r="J65" i="2"/>
  <c r="J49" i="2"/>
  <c r="J33" i="2"/>
  <c r="K84" i="2"/>
  <c r="K68" i="2"/>
  <c r="K52" i="2"/>
  <c r="K36" i="2"/>
  <c r="K57" i="2"/>
  <c r="K75" i="2"/>
  <c r="K59" i="2"/>
  <c r="K43" i="2"/>
  <c r="K37" i="2"/>
  <c r="K74" i="2"/>
  <c r="K58" i="2"/>
  <c r="K42" i="2"/>
  <c r="K73" i="2"/>
  <c r="K33" i="2"/>
  <c r="J72" i="2"/>
  <c r="J56" i="2"/>
  <c r="J40" i="2"/>
  <c r="J24" i="2"/>
  <c r="J79" i="2"/>
  <c r="J63" i="2"/>
  <c r="J47" i="2"/>
  <c r="J31" i="2"/>
  <c r="J86" i="2"/>
  <c r="J70" i="2"/>
  <c r="J54" i="2"/>
  <c r="J38" i="2"/>
  <c r="J22" i="2"/>
  <c r="J77" i="2"/>
  <c r="J61" i="2"/>
  <c r="J45" i="2"/>
  <c r="J29" i="2"/>
  <c r="K80" i="2"/>
  <c r="K64" i="2"/>
  <c r="K48" i="2"/>
  <c r="K32" i="2"/>
  <c r="K81" i="2"/>
  <c r="K49" i="2"/>
  <c r="K87" i="2"/>
  <c r="K71" i="2"/>
  <c r="K55" i="2"/>
  <c r="K39" i="2"/>
  <c r="K86" i="2"/>
  <c r="K70" i="2"/>
  <c r="K54" i="2"/>
  <c r="K38" i="2"/>
  <c r="K61" i="2"/>
  <c r="L76" i="2"/>
  <c r="L60" i="2"/>
  <c r="L44" i="2"/>
  <c r="L28" i="2"/>
  <c r="L83" i="2"/>
  <c r="L67" i="2"/>
  <c r="L51" i="2"/>
  <c r="L35" i="2"/>
  <c r="L19" i="2"/>
  <c r="L74" i="2"/>
  <c r="L58" i="2"/>
  <c r="L42" i="2"/>
  <c r="L26" i="2"/>
  <c r="L81" i="2"/>
  <c r="L65" i="2"/>
  <c r="L49" i="2"/>
  <c r="L33" i="2"/>
  <c r="L84" i="2"/>
  <c r="L68" i="2"/>
  <c r="L52" i="2"/>
  <c r="L36" i="2"/>
  <c r="L20" i="2"/>
  <c r="L75" i="2"/>
  <c r="L59" i="2"/>
  <c r="L43" i="2"/>
  <c r="L27" i="2"/>
  <c r="L82" i="2"/>
  <c r="L66" i="2"/>
  <c r="L50" i="2"/>
  <c r="L34" i="2"/>
  <c r="L18" i="2"/>
  <c r="L73" i="2"/>
  <c r="L57" i="2"/>
  <c r="L41" i="2"/>
  <c r="L25" i="2"/>
  <c r="L80" i="2"/>
  <c r="L64" i="2"/>
  <c r="L48" i="2"/>
  <c r="L32" i="2"/>
  <c r="L87" i="2"/>
  <c r="L71" i="2"/>
  <c r="L55" i="2"/>
  <c r="L39" i="2"/>
  <c r="L23" i="2"/>
  <c r="L78" i="2"/>
  <c r="L62" i="2"/>
  <c r="L46" i="2"/>
  <c r="L30" i="2"/>
  <c r="L85" i="2"/>
  <c r="L69" i="2"/>
  <c r="L53" i="2"/>
  <c r="L37" i="2"/>
  <c r="L21" i="2"/>
  <c r="L72" i="2"/>
  <c r="L56" i="2"/>
  <c r="L40" i="2"/>
  <c r="L24" i="2"/>
  <c r="L79" i="2"/>
  <c r="L63" i="2"/>
  <c r="L47" i="2"/>
  <c r="L31" i="2"/>
  <c r="L86" i="2"/>
  <c r="L70" i="2"/>
  <c r="L54" i="2"/>
  <c r="L38" i="2"/>
  <c r="L22" i="2"/>
  <c r="L77" i="2"/>
  <c r="L61" i="2"/>
  <c r="L45" i="2"/>
  <c r="L29" i="2"/>
  <c r="M67" i="2"/>
  <c r="M34" i="2"/>
  <c r="M23" i="2"/>
  <c r="M69" i="2"/>
  <c r="M61" i="2"/>
  <c r="M20" i="2"/>
  <c r="M62" i="2"/>
  <c r="M22" i="2"/>
  <c r="M29" i="2"/>
  <c r="M43" i="2"/>
  <c r="M40" i="2"/>
  <c r="M78" i="2"/>
  <c r="M18" i="2"/>
  <c r="M21" i="2"/>
  <c r="M56" i="2"/>
  <c r="M88" i="2"/>
  <c r="M84" i="2"/>
  <c r="M86" i="2"/>
  <c r="M54" i="2"/>
  <c r="M45" i="2"/>
  <c r="M35" i="2"/>
  <c r="M55" i="2"/>
  <c r="M68" i="2"/>
  <c r="M32" i="2"/>
  <c r="M82" i="2"/>
  <c r="M46" i="2"/>
  <c r="M73" i="2"/>
  <c r="M41" i="2"/>
  <c r="M83" i="2"/>
  <c r="M72" i="2"/>
  <c r="M47" i="2"/>
  <c r="M52" i="2"/>
  <c r="M66" i="2"/>
  <c r="M38" i="2"/>
  <c r="M85" i="2"/>
  <c r="M53" i="2"/>
  <c r="M25" i="2"/>
  <c r="M75" i="2"/>
  <c r="M19" i="2"/>
  <c r="M63" i="2"/>
  <c r="M48" i="2"/>
  <c r="M44" i="2"/>
  <c r="M70" i="2"/>
  <c r="M50" i="2"/>
  <c r="M30" i="2"/>
  <c r="M77" i="2"/>
  <c r="M57" i="2"/>
  <c r="M37" i="2"/>
  <c r="M51" i="2"/>
  <c r="M80" i="2"/>
  <c r="M79" i="2"/>
  <c r="M31" i="2"/>
  <c r="M76" i="2"/>
  <c r="M36" i="2"/>
  <c r="M74" i="2"/>
  <c r="M58" i="2"/>
  <c r="M42" i="2"/>
  <c r="M26" i="2"/>
  <c r="M81" i="2"/>
  <c r="M65" i="2"/>
  <c r="M49" i="2"/>
  <c r="M33" i="2"/>
  <c r="M59" i="2"/>
  <c r="M27" i="2"/>
  <c r="M64" i="2"/>
  <c r="M71" i="2"/>
  <c r="M39" i="2"/>
  <c r="M24" i="2"/>
  <c r="M60" i="2"/>
  <c r="M28" i="2"/>
  <c r="Z39" i="2"/>
  <c r="Z26" i="2"/>
  <c r="Z44" i="2"/>
  <c r="Z35" i="2"/>
  <c r="Z18" i="2"/>
  <c r="AA34" i="2"/>
  <c r="AA27" i="2"/>
  <c r="Z36" i="2"/>
  <c r="Z19" i="2"/>
  <c r="Z31" i="2"/>
  <c r="Z34" i="2"/>
  <c r="Z45" i="2"/>
  <c r="Z25" i="2"/>
  <c r="AA41" i="2"/>
  <c r="AA16" i="1"/>
  <c r="AA9" i="1"/>
  <c r="AA25" i="1"/>
  <c r="AA18" i="1"/>
  <c r="AA15" i="1"/>
  <c r="Z32" i="2"/>
  <c r="Z47" i="2"/>
  <c r="Z23" i="2"/>
  <c r="Z30" i="2"/>
  <c r="Z41" i="2"/>
  <c r="AA44" i="2"/>
  <c r="AA28" i="2"/>
  <c r="AA38" i="2"/>
  <c r="AA25" i="2"/>
  <c r="AA32" i="2"/>
  <c r="AA47" i="2"/>
  <c r="AA46" i="2"/>
  <c r="AA29" i="2"/>
  <c r="AA43" i="2"/>
  <c r="Z40" i="2"/>
  <c r="Z24" i="2"/>
  <c r="Z43" i="2"/>
  <c r="Z27" i="2"/>
  <c r="Z38" i="2"/>
  <c r="Z22" i="2"/>
  <c r="Z37" i="2"/>
  <c r="Z21" i="2"/>
  <c r="AA42" i="2"/>
  <c r="AA31" i="2"/>
  <c r="AA45" i="2"/>
  <c r="AA40" i="2"/>
  <c r="AA24" i="2"/>
  <c r="AA26" i="2"/>
  <c r="AA39" i="2"/>
  <c r="AA23" i="2"/>
  <c r="AA30" i="2"/>
  <c r="AA37" i="2"/>
  <c r="AA21" i="2"/>
  <c r="AA36" i="2"/>
  <c r="AA20" i="2"/>
  <c r="AA22" i="2"/>
  <c r="AA35" i="2"/>
  <c r="AA19" i="2"/>
  <c r="AA18" i="2"/>
  <c r="AA33" i="2"/>
  <c r="W26" i="2"/>
  <c r="W42" i="2"/>
  <c r="W40" i="2"/>
  <c r="W19" i="2"/>
  <c r="W35" i="2"/>
  <c r="W20" i="2"/>
  <c r="W21" i="2"/>
  <c r="W41" i="2"/>
  <c r="W30" i="2"/>
  <c r="W46" i="2"/>
  <c r="W48" i="2"/>
  <c r="W23" i="2"/>
  <c r="W39" i="2"/>
  <c r="W28" i="2"/>
  <c r="W25" i="2"/>
  <c r="W34" i="2"/>
  <c r="W24" i="2"/>
  <c r="W37" i="2"/>
  <c r="W27" i="2"/>
  <c r="W43" i="2"/>
  <c r="W36" i="2"/>
  <c r="W29" i="2"/>
  <c r="W22" i="2"/>
  <c r="W38" i="2"/>
  <c r="W32" i="2"/>
  <c r="W45" i="2"/>
  <c r="W31" i="2"/>
  <c r="W47" i="2"/>
  <c r="W44" i="2"/>
  <c r="W33" i="2"/>
  <c r="X44" i="2"/>
  <c r="X26" i="2"/>
  <c r="X35" i="2"/>
  <c r="X25" i="2"/>
  <c r="X40" i="2"/>
  <c r="X45" i="2"/>
  <c r="X31" i="2"/>
  <c r="X46" i="2"/>
  <c r="X36" i="2"/>
  <c r="X20" i="2"/>
  <c r="X37" i="2"/>
  <c r="X43" i="2"/>
  <c r="X27" i="2"/>
  <c r="X30" i="2"/>
  <c r="X34" i="2"/>
  <c r="X28" i="2"/>
  <c r="X21" i="2"/>
  <c r="X19" i="2"/>
  <c r="X41" i="2"/>
  <c r="X24" i="2"/>
  <c r="X47" i="2"/>
  <c r="X42" i="2"/>
  <c r="X33" i="2"/>
  <c r="X32" i="2"/>
  <c r="X38" i="2"/>
  <c r="X29" i="2"/>
  <c r="X39" i="2"/>
  <c r="X23" i="2"/>
  <c r="X22" i="2"/>
  <c r="X18" i="2"/>
  <c r="AE21" i="1"/>
  <c r="AE5" i="1"/>
  <c r="AE24" i="1"/>
  <c r="AE8" i="1"/>
  <c r="AE23" i="1"/>
  <c r="AE7" i="1"/>
  <c r="AE17" i="1"/>
  <c r="AE22" i="1"/>
  <c r="AE20" i="1"/>
  <c r="AE4" i="1"/>
  <c r="AE19" i="1"/>
  <c r="AE13" i="1"/>
  <c r="AE14" i="1"/>
  <c r="AE16" i="1"/>
  <c r="AE18" i="1"/>
  <c r="AE15" i="1"/>
  <c r="AE9" i="1"/>
  <c r="AE10" i="1"/>
  <c r="AE12" i="1"/>
  <c r="AE6" i="1"/>
  <c r="AE11" i="1"/>
  <c r="AD21" i="1"/>
  <c r="AD5" i="1"/>
  <c r="AD22" i="1"/>
  <c r="AD6" i="1"/>
  <c r="AD12" i="1"/>
  <c r="AD11" i="1"/>
  <c r="AD17" i="1"/>
  <c r="AD19" i="1"/>
  <c r="AD18" i="1"/>
  <c r="AD24" i="1"/>
  <c r="AD8" i="1"/>
  <c r="AD13" i="1"/>
  <c r="AD15" i="1"/>
  <c r="AD14" i="1"/>
  <c r="AD20" i="1"/>
  <c r="AD4" i="1"/>
  <c r="AD9" i="1"/>
  <c r="AD7" i="1"/>
  <c r="AD10" i="1"/>
  <c r="AD16" i="1"/>
  <c r="AD23" i="1"/>
  <c r="AC5" i="1"/>
  <c r="AC12" i="1"/>
  <c r="AC7" i="1"/>
  <c r="AC17" i="1"/>
  <c r="AC24" i="1"/>
  <c r="AC19" i="1"/>
  <c r="AC13" i="1"/>
  <c r="AC18" i="1"/>
  <c r="AC20" i="1"/>
  <c r="AC4" i="1"/>
  <c r="AC15" i="1"/>
  <c r="AC21" i="1"/>
  <c r="AC10" i="1"/>
  <c r="AC23" i="1"/>
  <c r="AC22" i="1"/>
  <c r="AC8" i="1"/>
  <c r="AC9" i="1"/>
  <c r="AC14" i="1"/>
  <c r="AC16" i="1"/>
  <c r="AC6" i="1"/>
  <c r="AC11" i="1"/>
  <c r="AB21" i="1"/>
  <c r="AB5" i="1"/>
  <c r="AB12" i="1"/>
  <c r="AB19" i="1"/>
  <c r="AB22" i="1"/>
  <c r="AB6" i="1"/>
  <c r="AB17" i="1"/>
  <c r="AB24" i="1"/>
  <c r="AB8" i="1"/>
  <c r="AB15" i="1"/>
  <c r="AB18" i="1"/>
  <c r="AB13" i="1"/>
  <c r="AB20" i="1"/>
  <c r="AB4" i="1"/>
  <c r="AB11" i="1"/>
  <c r="AB14" i="1"/>
  <c r="AB9" i="1"/>
  <c r="AB16" i="1"/>
  <c r="AB23" i="1"/>
  <c r="AB7" i="1"/>
  <c r="AB10" i="1"/>
  <c r="AR17" i="1"/>
  <c r="AR16" i="1"/>
  <c r="AR14" i="1"/>
  <c r="AR20" i="1"/>
  <c r="AR19" i="1"/>
  <c r="AR13" i="1"/>
  <c r="AR8" i="1"/>
  <c r="AR10" i="1"/>
  <c r="AR12" i="1"/>
  <c r="AR15" i="1"/>
  <c r="AR9" i="1"/>
  <c r="AR22" i="1"/>
  <c r="AR6" i="1"/>
  <c r="AR4" i="1"/>
  <c r="AR11" i="1"/>
  <c r="AR21" i="1"/>
  <c r="AR5" i="1"/>
  <c r="AR18" i="1"/>
  <c r="AR24" i="1"/>
  <c r="AR23" i="1"/>
  <c r="AR7" i="1"/>
  <c r="AP17" i="1"/>
  <c r="AP16" i="1"/>
  <c r="AP14" i="1"/>
  <c r="AP5" i="1"/>
  <c r="AP4" i="1"/>
  <c r="AP23" i="1"/>
  <c r="AP15" i="1"/>
  <c r="AP19" i="1"/>
  <c r="AP21" i="1"/>
  <c r="AP20" i="1"/>
  <c r="AP18" i="1"/>
  <c r="AO17" i="1"/>
  <c r="AO20" i="1"/>
  <c r="AO19" i="1"/>
  <c r="AO18" i="1"/>
  <c r="AO13" i="1"/>
  <c r="AO12" i="1"/>
  <c r="AO11" i="1"/>
  <c r="AO14" i="1"/>
  <c r="AO9" i="1"/>
  <c r="AO4" i="1"/>
  <c r="AO7" i="1"/>
  <c r="AO10" i="1"/>
  <c r="AO24" i="1"/>
  <c r="AO23" i="1"/>
  <c r="AO16" i="1"/>
  <c r="AQ20" i="1"/>
  <c r="AQ22" i="1"/>
  <c r="AQ9" i="1"/>
  <c r="AQ25" i="1"/>
  <c r="AQ15" i="1"/>
  <c r="AQ8" i="1"/>
  <c r="AQ24" i="1"/>
  <c r="AQ7" i="1"/>
  <c r="AQ13" i="1"/>
  <c r="AQ6" i="1"/>
  <c r="AQ23" i="1"/>
  <c r="AP13" i="1"/>
  <c r="AP11" i="1"/>
  <c r="AP12" i="1"/>
  <c r="AP7" i="1"/>
  <c r="AP10" i="1"/>
  <c r="AQ12" i="1"/>
  <c r="AQ10" i="1"/>
  <c r="AQ19" i="1"/>
  <c r="AQ17" i="1"/>
  <c r="AQ14" i="1"/>
  <c r="AO21" i="1"/>
  <c r="AO5" i="1"/>
  <c r="AO8" i="1"/>
  <c r="AO15" i="1"/>
  <c r="AO22" i="1"/>
  <c r="AO6" i="1"/>
  <c r="AP9" i="1"/>
  <c r="AP24" i="1"/>
  <c r="AP8" i="1"/>
  <c r="AP22" i="1"/>
  <c r="AP6" i="1"/>
  <c r="AQ16" i="1"/>
  <c r="AQ18" i="1"/>
  <c r="AQ5" i="1"/>
  <c r="AQ21" i="1"/>
  <c r="AQ11" i="1"/>
  <c r="AN12" i="1"/>
  <c r="AN19" i="1"/>
  <c r="AN17" i="1"/>
  <c r="AN6" i="1"/>
  <c r="AN22" i="1"/>
  <c r="AN16" i="1"/>
  <c r="AN5" i="1"/>
  <c r="AN21" i="1"/>
  <c r="AN10" i="1"/>
  <c r="AN7" i="1"/>
  <c r="AN20" i="1"/>
  <c r="AN9" i="1"/>
  <c r="AN25" i="1"/>
  <c r="AN14" i="1"/>
  <c r="AN15" i="1"/>
  <c r="AN8" i="1"/>
  <c r="AN24" i="1"/>
  <c r="AN13" i="1"/>
  <c r="AN11" i="1"/>
  <c r="AN18" i="1"/>
  <c r="AN23" i="1"/>
  <c r="G5" i="1"/>
  <c r="G6" i="1"/>
  <c r="G7" i="1"/>
  <c r="G8" i="1"/>
  <c r="G9" i="1"/>
  <c r="G10" i="1"/>
  <c r="G11" i="1"/>
  <c r="G12" i="1"/>
  <c r="G14" i="1"/>
  <c r="G15" i="1"/>
  <c r="G16" i="1"/>
  <c r="G17" i="1"/>
  <c r="G18" i="1"/>
  <c r="G19" i="1"/>
  <c r="G20" i="1"/>
  <c r="G21" i="1"/>
  <c r="G22" i="1"/>
  <c r="G23" i="1"/>
  <c r="G24" i="1"/>
  <c r="G25" i="1"/>
  <c r="B6" i="1"/>
  <c r="AU15" i="1"/>
  <c r="AW6" i="1"/>
  <c r="AX16" i="1"/>
  <c r="AV18" i="1"/>
  <c r="AX15" i="1"/>
  <c r="AV11" i="1"/>
  <c r="AU12" i="1"/>
  <c r="AW20" i="1"/>
  <c r="AU5" i="1"/>
  <c r="AV21" i="1"/>
  <c r="AU14" i="1"/>
  <c r="AW22" i="1"/>
  <c r="AW8" i="1"/>
  <c r="AU22" i="1"/>
  <c r="AV14" i="1"/>
  <c r="AU23" i="1"/>
  <c r="AV7" i="1"/>
  <c r="AU8" i="1"/>
  <c r="AX19" i="1"/>
  <c r="AV12" i="1"/>
  <c r="AW18" i="1"/>
  <c r="AU13" i="1"/>
  <c r="AW17" i="1"/>
  <c r="AW24" i="1"/>
  <c r="AW15" i="1"/>
  <c r="AU7" i="1"/>
  <c r="AV23" i="1"/>
  <c r="AU24" i="1"/>
  <c r="AX22" i="1"/>
  <c r="AU17" i="1"/>
  <c r="AV13" i="1"/>
  <c r="AX5" i="1"/>
  <c r="AX8" i="1"/>
  <c r="AX7" i="1"/>
  <c r="AV4" i="1"/>
  <c r="AW7" i="1"/>
  <c r="AU19" i="1"/>
  <c r="AW16" i="1"/>
  <c r="AX10" i="1"/>
  <c r="AV15" i="1"/>
  <c r="AX9" i="1"/>
  <c r="AU16" i="1"/>
  <c r="AU6" i="1"/>
  <c r="AX14" i="1"/>
  <c r="AV20" i="1"/>
  <c r="AW23" i="1"/>
  <c r="AW13" i="1"/>
  <c r="AX18" i="1"/>
  <c r="AV22" i="1"/>
  <c r="AX12" i="1"/>
  <c r="AV8" i="1"/>
  <c r="AU9" i="1"/>
  <c r="AV9" i="1"/>
  <c r="AU18" i="1"/>
  <c r="AX6" i="1"/>
  <c r="AV17" i="1"/>
  <c r="AX13" i="1"/>
  <c r="AU10" i="1"/>
  <c r="AW12" i="1"/>
  <c r="AX21" i="1"/>
  <c r="AV24" i="1"/>
  <c r="AW4" i="1"/>
  <c r="AX4" i="1"/>
  <c r="AX20" i="1"/>
  <c r="AV10" i="1"/>
  <c r="AW21" i="1"/>
  <c r="AX23" i="1"/>
  <c r="AX24" i="1"/>
  <c r="AU11" i="1"/>
  <c r="AW9" i="1"/>
  <c r="AW10" i="1"/>
  <c r="AW11" i="1"/>
  <c r="AU21" i="1"/>
  <c r="AV5" i="1"/>
  <c r="AU4" i="1"/>
  <c r="C6" i="1"/>
  <c r="AV19" i="1"/>
  <c r="AU20" i="1"/>
  <c r="AW19" i="1"/>
  <c r="AV6" i="1"/>
  <c r="AV16" i="1"/>
  <c r="AW5" i="1"/>
  <c r="AX11" i="1"/>
  <c r="AW14" i="1"/>
  <c r="AX17" i="1"/>
  <c r="K10" i="2" l="1"/>
  <c r="K13" i="2" s="1"/>
  <c r="I12" i="2"/>
  <c r="I14" i="2"/>
  <c r="K11" i="2"/>
  <c r="M11" i="2"/>
  <c r="M10" i="2"/>
  <c r="L11" i="2"/>
  <c r="L10" i="2"/>
  <c r="J10" i="2"/>
  <c r="J11" i="2"/>
  <c r="I15" i="2"/>
  <c r="I13" i="2"/>
  <c r="BD4" i="1" a="1"/>
  <c r="BC4" i="1" a="1"/>
  <c r="BB4" i="1" a="1"/>
  <c r="BA4" i="1" a="1"/>
  <c r="K14" i="2" l="1"/>
  <c r="K15" i="2"/>
  <c r="M12" i="2"/>
  <c r="M14" i="2"/>
  <c r="J13" i="2"/>
  <c r="J15" i="2"/>
  <c r="L12" i="2"/>
  <c r="L14" i="2"/>
  <c r="L13" i="2"/>
  <c r="L15" i="2"/>
  <c r="K12" i="2"/>
  <c r="J14" i="2"/>
  <c r="J12" i="2"/>
  <c r="M15" i="2"/>
  <c r="M13" i="2"/>
  <c r="BA4" i="1"/>
  <c r="BA18" i="1"/>
  <c r="BA12" i="1"/>
  <c r="BA14" i="1"/>
  <c r="BA8" i="1"/>
  <c r="BA11" i="1"/>
  <c r="BA9" i="1"/>
  <c r="BA5" i="1"/>
  <c r="BA23" i="1"/>
  <c r="BA13" i="1"/>
  <c r="BA7" i="1"/>
  <c r="BA16" i="1"/>
  <c r="BA21" i="1"/>
  <c r="BA17" i="1"/>
  <c r="BA15" i="1"/>
  <c r="BA20" i="1"/>
  <c r="BA24" i="1"/>
  <c r="BA25" i="1"/>
  <c r="BA22" i="1"/>
  <c r="BA10" i="1"/>
  <c r="BA19" i="1"/>
  <c r="BA6" i="1"/>
  <c r="BB23" i="1"/>
  <c r="BB22" i="1"/>
  <c r="BB20" i="1"/>
  <c r="BB8" i="1"/>
  <c r="BB15" i="1"/>
  <c r="BB18" i="1"/>
  <c r="BB17" i="1"/>
  <c r="BB6" i="1"/>
  <c r="BB7" i="1"/>
  <c r="BB14" i="1"/>
  <c r="BB13" i="1"/>
  <c r="BB16" i="1"/>
  <c r="BB4" i="1"/>
  <c r="BB21" i="1"/>
  <c r="BB24" i="1"/>
  <c r="BB12" i="1"/>
  <c r="BB25" i="1"/>
  <c r="BB19" i="1"/>
  <c r="BB5" i="1"/>
  <c r="BB10" i="1"/>
  <c r="BB9" i="1"/>
  <c r="BB11" i="1"/>
  <c r="BC23" i="1"/>
  <c r="BC21" i="1"/>
  <c r="BC24" i="1"/>
  <c r="BC12" i="1"/>
  <c r="BC18" i="1"/>
  <c r="BC5" i="1"/>
  <c r="BC14" i="1"/>
  <c r="BC17" i="1"/>
  <c r="BC4" i="1"/>
  <c r="BC11" i="1"/>
  <c r="BC9" i="1"/>
  <c r="BC10" i="1"/>
  <c r="BC16" i="1"/>
  <c r="BC7" i="1"/>
  <c r="BC8" i="1"/>
  <c r="BC19" i="1"/>
  <c r="BC25" i="1"/>
  <c r="BC20" i="1"/>
  <c r="BC6" i="1"/>
  <c r="BC15" i="1"/>
  <c r="BC13" i="1"/>
  <c r="BC22" i="1"/>
  <c r="BD25" i="1"/>
  <c r="BD14" i="1"/>
  <c r="BD24" i="1"/>
  <c r="BD12" i="1"/>
  <c r="BD7" i="1"/>
  <c r="BD5" i="1"/>
  <c r="BD20" i="1"/>
  <c r="BD8" i="1"/>
  <c r="BD17" i="1"/>
  <c r="BD10" i="1"/>
  <c r="BD11" i="1"/>
  <c r="BD9" i="1"/>
  <c r="BD13" i="1"/>
  <c r="BD6" i="1"/>
  <c r="BD23" i="1"/>
  <c r="BD21" i="1"/>
  <c r="BD19" i="1"/>
  <c r="BD4" i="1"/>
  <c r="BD15" i="1"/>
  <c r="BD18" i="1"/>
  <c r="BD22" i="1"/>
  <c r="BD16" i="1"/>
</calcChain>
</file>

<file path=xl/sharedStrings.xml><?xml version="1.0" encoding="utf-8"?>
<sst xmlns="http://schemas.openxmlformats.org/spreadsheetml/2006/main" count="44" uniqueCount="25">
  <si>
    <t>x</t>
    <phoneticPr fontId="2"/>
  </si>
  <si>
    <t>P(x&lt;a)=e-la</t>
    <phoneticPr fontId="2"/>
  </si>
  <si>
    <t>spot</t>
    <phoneticPr fontId="2"/>
  </si>
  <si>
    <t>strike</t>
    <phoneticPr fontId="2"/>
  </si>
  <si>
    <t>vol</t>
    <phoneticPr fontId="2"/>
  </si>
  <si>
    <t>expiry</t>
    <phoneticPr fontId="2"/>
  </si>
  <si>
    <t>r</t>
    <phoneticPr fontId="2"/>
  </si>
  <si>
    <t>真値</t>
    <rPh sb="0" eb="2">
      <t>シンチ</t>
    </rPh>
    <phoneticPr fontId="2"/>
  </si>
  <si>
    <t>正規分布</t>
  </si>
  <si>
    <t>average</t>
    <phoneticPr fontId="2"/>
  </si>
  <si>
    <t>stdev</t>
    <phoneticPr fontId="2"/>
  </si>
  <si>
    <t>信頼区間</t>
    <rPh sb="0" eb="2">
      <t>シンライ</t>
    </rPh>
    <rPh sb="2" eb="4">
      <t>クカン</t>
    </rPh>
    <phoneticPr fontId="2"/>
  </si>
  <si>
    <t>t_inv(100-1)</t>
    <phoneticPr fontId="2"/>
  </si>
  <si>
    <t>normal_inv</t>
    <phoneticPr fontId="2"/>
  </si>
  <si>
    <t>Lower</t>
    <phoneticPr fontId="2"/>
  </si>
  <si>
    <t>Upper</t>
    <phoneticPr fontId="2"/>
  </si>
  <si>
    <t>信頼係数</t>
    <rPh sb="0" eb="4">
      <t>シンライケイスウ</t>
    </rPh>
    <phoneticPr fontId="2"/>
  </si>
  <si>
    <t>Lower(t)</t>
    <phoneticPr fontId="2"/>
  </si>
  <si>
    <t>Upper(t)</t>
    <phoneticPr fontId="2"/>
  </si>
  <si>
    <t>Lower(normal)</t>
    <phoneticPr fontId="2"/>
  </si>
  <si>
    <t>Upper(normal)</t>
    <phoneticPr fontId="2"/>
  </si>
  <si>
    <t>n</t>
    <phoneticPr fontId="2"/>
  </si>
  <si>
    <t>Sample数(m)</t>
    <rPh sb="6" eb="7">
      <t>スウ</t>
    </rPh>
    <phoneticPr fontId="2"/>
  </si>
  <si>
    <t>true PV</t>
    <phoneticPr fontId="2"/>
  </si>
  <si>
    <t>true PV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</si>
</sst>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0" formatCode="0.000E+00"/>
    <numFmt numFmtId="190" formatCode="0.00000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9" fontId="0" fillId="0" borderId="0" xfId="1" applyFont="1">
      <alignment vertical="center"/>
    </xf>
    <xf numFmtId="18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3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9" xfId="0" applyBorder="1">
      <alignment vertical="center"/>
    </xf>
    <xf numFmtId="190" fontId="0" fillId="0" borderId="1" xfId="0" applyNumberFormat="1" applyBorder="1">
      <alignment vertical="center"/>
    </xf>
    <xf numFmtId="0" fontId="0" fillId="0" borderId="1" xfId="0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指数分布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Distribution!$AN$3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Distribution!$AM$5:$AM$24</c:f>
              <c:numCache>
                <c:formatCode>General</c:formatCode>
                <c:ptCount val="20"/>
                <c:pt idx="0">
                  <c:v>7.2999999999999995E-2</c:v>
                </c:pt>
                <c:pt idx="1">
                  <c:v>7.5999999999999998E-2</c:v>
                </c:pt>
                <c:pt idx="2">
                  <c:v>7.9000000000000001E-2</c:v>
                </c:pt>
                <c:pt idx="3">
                  <c:v>8.2000000000000003E-2</c:v>
                </c:pt>
                <c:pt idx="4">
                  <c:v>8.4999999999999895E-2</c:v>
                </c:pt>
                <c:pt idx="5">
                  <c:v>8.7999999999999898E-2</c:v>
                </c:pt>
                <c:pt idx="6">
                  <c:v>9.09999999999999E-2</c:v>
                </c:pt>
                <c:pt idx="7">
                  <c:v>9.3999999999999903E-2</c:v>
                </c:pt>
                <c:pt idx="8">
                  <c:v>9.6999999999999906E-2</c:v>
                </c:pt>
                <c:pt idx="9">
                  <c:v>9.9999999999999895E-2</c:v>
                </c:pt>
                <c:pt idx="10">
                  <c:v>0.10299999999999999</c:v>
                </c:pt>
                <c:pt idx="11">
                  <c:v>0.106</c:v>
                </c:pt>
                <c:pt idx="12">
                  <c:v>0.109</c:v>
                </c:pt>
                <c:pt idx="13">
                  <c:v>0.112</c:v>
                </c:pt>
                <c:pt idx="14">
                  <c:v>0.115</c:v>
                </c:pt>
                <c:pt idx="15">
                  <c:v>0.11799999999999999</c:v>
                </c:pt>
                <c:pt idx="16">
                  <c:v>0.121</c:v>
                </c:pt>
                <c:pt idx="17">
                  <c:v>0.124</c:v>
                </c:pt>
                <c:pt idx="18">
                  <c:v>0.127</c:v>
                </c:pt>
                <c:pt idx="19">
                  <c:v>0.13</c:v>
                </c:pt>
              </c:numCache>
            </c:numRef>
          </c:cat>
          <c:val>
            <c:numRef>
              <c:f>Distribution!$AN$5:$AN$24</c:f>
              <c:numCache>
                <c:formatCode>General</c:formatCode>
                <c:ptCount val="20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strRef>
              <c:f>Distribution!$AO$3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Distribution!$AM$5:$AM$24</c:f>
              <c:numCache>
                <c:formatCode>General</c:formatCode>
                <c:ptCount val="20"/>
                <c:pt idx="0">
                  <c:v>7.2999999999999995E-2</c:v>
                </c:pt>
                <c:pt idx="1">
                  <c:v>7.5999999999999998E-2</c:v>
                </c:pt>
                <c:pt idx="2">
                  <c:v>7.9000000000000001E-2</c:v>
                </c:pt>
                <c:pt idx="3">
                  <c:v>8.2000000000000003E-2</c:v>
                </c:pt>
                <c:pt idx="4">
                  <c:v>8.4999999999999895E-2</c:v>
                </c:pt>
                <c:pt idx="5">
                  <c:v>8.7999999999999898E-2</c:v>
                </c:pt>
                <c:pt idx="6">
                  <c:v>9.09999999999999E-2</c:v>
                </c:pt>
                <c:pt idx="7">
                  <c:v>9.3999999999999903E-2</c:v>
                </c:pt>
                <c:pt idx="8">
                  <c:v>9.6999999999999906E-2</c:v>
                </c:pt>
                <c:pt idx="9">
                  <c:v>9.9999999999999895E-2</c:v>
                </c:pt>
                <c:pt idx="10">
                  <c:v>0.10299999999999999</c:v>
                </c:pt>
                <c:pt idx="11">
                  <c:v>0.106</c:v>
                </c:pt>
                <c:pt idx="12">
                  <c:v>0.109</c:v>
                </c:pt>
                <c:pt idx="13">
                  <c:v>0.112</c:v>
                </c:pt>
                <c:pt idx="14">
                  <c:v>0.115</c:v>
                </c:pt>
                <c:pt idx="15">
                  <c:v>0.11799999999999999</c:v>
                </c:pt>
                <c:pt idx="16">
                  <c:v>0.121</c:v>
                </c:pt>
                <c:pt idx="17">
                  <c:v>0.124</c:v>
                </c:pt>
                <c:pt idx="18">
                  <c:v>0.127</c:v>
                </c:pt>
                <c:pt idx="19">
                  <c:v>0.13</c:v>
                </c:pt>
              </c:numCache>
            </c:numRef>
          </c:cat>
          <c:val>
            <c:numRef>
              <c:f>Distribution!$AO$5:$AO$24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21</c:v>
                </c:pt>
                <c:pt idx="11">
                  <c:v>15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2"/>
          <c:order val="2"/>
          <c:tx>
            <c:strRef>
              <c:f>Distribution!$AP$3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Distribution!$AM$5:$AM$24</c:f>
              <c:numCache>
                <c:formatCode>General</c:formatCode>
                <c:ptCount val="20"/>
                <c:pt idx="0">
                  <c:v>7.2999999999999995E-2</c:v>
                </c:pt>
                <c:pt idx="1">
                  <c:v>7.5999999999999998E-2</c:v>
                </c:pt>
                <c:pt idx="2">
                  <c:v>7.9000000000000001E-2</c:v>
                </c:pt>
                <c:pt idx="3">
                  <c:v>8.2000000000000003E-2</c:v>
                </c:pt>
                <c:pt idx="4">
                  <c:v>8.4999999999999895E-2</c:v>
                </c:pt>
                <c:pt idx="5">
                  <c:v>8.7999999999999898E-2</c:v>
                </c:pt>
                <c:pt idx="6">
                  <c:v>9.09999999999999E-2</c:v>
                </c:pt>
                <c:pt idx="7">
                  <c:v>9.3999999999999903E-2</c:v>
                </c:pt>
                <c:pt idx="8">
                  <c:v>9.6999999999999906E-2</c:v>
                </c:pt>
                <c:pt idx="9">
                  <c:v>9.9999999999999895E-2</c:v>
                </c:pt>
                <c:pt idx="10">
                  <c:v>0.10299999999999999</c:v>
                </c:pt>
                <c:pt idx="11">
                  <c:v>0.106</c:v>
                </c:pt>
                <c:pt idx="12">
                  <c:v>0.109</c:v>
                </c:pt>
                <c:pt idx="13">
                  <c:v>0.112</c:v>
                </c:pt>
                <c:pt idx="14">
                  <c:v>0.115</c:v>
                </c:pt>
                <c:pt idx="15">
                  <c:v>0.11799999999999999</c:v>
                </c:pt>
                <c:pt idx="16">
                  <c:v>0.121</c:v>
                </c:pt>
                <c:pt idx="17">
                  <c:v>0.124</c:v>
                </c:pt>
                <c:pt idx="18">
                  <c:v>0.127</c:v>
                </c:pt>
                <c:pt idx="19">
                  <c:v>0.13</c:v>
                </c:pt>
              </c:numCache>
            </c:numRef>
          </c:cat>
          <c:val>
            <c:numRef>
              <c:f>Distribution!$AP$5:$AP$24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26</c:v>
                </c:pt>
                <c:pt idx="10">
                  <c:v>35</c:v>
                </c:pt>
                <c:pt idx="11">
                  <c:v>18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3"/>
          <c:order val="3"/>
          <c:tx>
            <c:strRef>
              <c:f>Distribution!$AQ$3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Distribution!$AM$5:$AM$24</c:f>
              <c:numCache>
                <c:formatCode>General</c:formatCode>
                <c:ptCount val="20"/>
                <c:pt idx="0">
                  <c:v>7.2999999999999995E-2</c:v>
                </c:pt>
                <c:pt idx="1">
                  <c:v>7.5999999999999998E-2</c:v>
                </c:pt>
                <c:pt idx="2">
                  <c:v>7.9000000000000001E-2</c:v>
                </c:pt>
                <c:pt idx="3">
                  <c:v>8.2000000000000003E-2</c:v>
                </c:pt>
                <c:pt idx="4">
                  <c:v>8.4999999999999895E-2</c:v>
                </c:pt>
                <c:pt idx="5">
                  <c:v>8.7999999999999898E-2</c:v>
                </c:pt>
                <c:pt idx="6">
                  <c:v>9.09999999999999E-2</c:v>
                </c:pt>
                <c:pt idx="7">
                  <c:v>9.3999999999999903E-2</c:v>
                </c:pt>
                <c:pt idx="8">
                  <c:v>9.6999999999999906E-2</c:v>
                </c:pt>
                <c:pt idx="9">
                  <c:v>9.9999999999999895E-2</c:v>
                </c:pt>
                <c:pt idx="10">
                  <c:v>0.10299999999999999</c:v>
                </c:pt>
                <c:pt idx="11">
                  <c:v>0.106</c:v>
                </c:pt>
                <c:pt idx="12">
                  <c:v>0.109</c:v>
                </c:pt>
                <c:pt idx="13">
                  <c:v>0.112</c:v>
                </c:pt>
                <c:pt idx="14">
                  <c:v>0.115</c:v>
                </c:pt>
                <c:pt idx="15">
                  <c:v>0.11799999999999999</c:v>
                </c:pt>
                <c:pt idx="16">
                  <c:v>0.121</c:v>
                </c:pt>
                <c:pt idx="17">
                  <c:v>0.124</c:v>
                </c:pt>
                <c:pt idx="18">
                  <c:v>0.127</c:v>
                </c:pt>
                <c:pt idx="19">
                  <c:v>0.13</c:v>
                </c:pt>
              </c:numCache>
            </c:numRef>
          </c:cat>
          <c:val>
            <c:numRef>
              <c:f>Distribution!$AQ$5:$AQ$24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48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358176"/>
        <c:axId val="141358568"/>
      </c:barChart>
      <c:catAx>
        <c:axId val="14135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1358568"/>
        <c:crosses val="autoZero"/>
        <c:auto val="1"/>
        <c:lblAlgn val="ctr"/>
        <c:lblOffset val="100"/>
        <c:noMultiLvlLbl val="0"/>
      </c:catAx>
      <c:valAx>
        <c:axId val="14135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135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対数正規分布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Distribution!$BA$3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Distribution!$AZ$5:$AZ$24</c:f>
              <c:numCache>
                <c:formatCode>General</c:formatCode>
                <c:ptCount val="20"/>
                <c:pt idx="0">
                  <c:v>1.25</c:v>
                </c:pt>
                <c:pt idx="1">
                  <c:v>1.3</c:v>
                </c:pt>
                <c:pt idx="2">
                  <c:v>1.35</c:v>
                </c:pt>
                <c:pt idx="3">
                  <c:v>1.4</c:v>
                </c:pt>
                <c:pt idx="4">
                  <c:v>1.45</c:v>
                </c:pt>
                <c:pt idx="5">
                  <c:v>1.5</c:v>
                </c:pt>
                <c:pt idx="6">
                  <c:v>1.55</c:v>
                </c:pt>
                <c:pt idx="7">
                  <c:v>1.6</c:v>
                </c:pt>
                <c:pt idx="8">
                  <c:v>1.65</c:v>
                </c:pt>
                <c:pt idx="9">
                  <c:v>1.7</c:v>
                </c:pt>
                <c:pt idx="10">
                  <c:v>1.75</c:v>
                </c:pt>
                <c:pt idx="11">
                  <c:v>1.8</c:v>
                </c:pt>
                <c:pt idx="12">
                  <c:v>1.85</c:v>
                </c:pt>
                <c:pt idx="13">
                  <c:v>1.9</c:v>
                </c:pt>
                <c:pt idx="14">
                  <c:v>1.95</c:v>
                </c:pt>
                <c:pt idx="15">
                  <c:v>2</c:v>
                </c:pt>
                <c:pt idx="16">
                  <c:v>2.0499999999999998</c:v>
                </c:pt>
                <c:pt idx="17">
                  <c:v>2.1</c:v>
                </c:pt>
                <c:pt idx="18">
                  <c:v>2.15</c:v>
                </c:pt>
                <c:pt idx="19">
                  <c:v>2.2000000000000002</c:v>
                </c:pt>
              </c:numCache>
            </c:numRef>
          </c:cat>
          <c:val>
            <c:numRef>
              <c:f>Distribution!$BA$5:$BA$24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strRef>
              <c:f>Distribution!$BB$3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Distribution!$AZ$5:$AZ$24</c:f>
              <c:numCache>
                <c:formatCode>General</c:formatCode>
                <c:ptCount val="20"/>
                <c:pt idx="0">
                  <c:v>1.25</c:v>
                </c:pt>
                <c:pt idx="1">
                  <c:v>1.3</c:v>
                </c:pt>
                <c:pt idx="2">
                  <c:v>1.35</c:v>
                </c:pt>
                <c:pt idx="3">
                  <c:v>1.4</c:v>
                </c:pt>
                <c:pt idx="4">
                  <c:v>1.45</c:v>
                </c:pt>
                <c:pt idx="5">
                  <c:v>1.5</c:v>
                </c:pt>
                <c:pt idx="6">
                  <c:v>1.55</c:v>
                </c:pt>
                <c:pt idx="7">
                  <c:v>1.6</c:v>
                </c:pt>
                <c:pt idx="8">
                  <c:v>1.65</c:v>
                </c:pt>
                <c:pt idx="9">
                  <c:v>1.7</c:v>
                </c:pt>
                <c:pt idx="10">
                  <c:v>1.75</c:v>
                </c:pt>
                <c:pt idx="11">
                  <c:v>1.8</c:v>
                </c:pt>
                <c:pt idx="12">
                  <c:v>1.85</c:v>
                </c:pt>
                <c:pt idx="13">
                  <c:v>1.9</c:v>
                </c:pt>
                <c:pt idx="14">
                  <c:v>1.95</c:v>
                </c:pt>
                <c:pt idx="15">
                  <c:v>2</c:v>
                </c:pt>
                <c:pt idx="16">
                  <c:v>2.0499999999999998</c:v>
                </c:pt>
                <c:pt idx="17">
                  <c:v>2.1</c:v>
                </c:pt>
                <c:pt idx="18">
                  <c:v>2.15</c:v>
                </c:pt>
                <c:pt idx="19">
                  <c:v>2.2000000000000002</c:v>
                </c:pt>
              </c:numCache>
            </c:numRef>
          </c:cat>
          <c:val>
            <c:numRef>
              <c:f>Distribution!$BB$5:$BB$24</c:f>
              <c:numCache>
                <c:formatCode>General</c:formatCode>
                <c:ptCount val="20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10</c:v>
                </c:pt>
                <c:pt idx="6">
                  <c:v>7</c:v>
                </c:pt>
                <c:pt idx="7">
                  <c:v>11</c:v>
                </c:pt>
                <c:pt idx="8">
                  <c:v>8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</c:ser>
        <c:ser>
          <c:idx val="2"/>
          <c:order val="2"/>
          <c:tx>
            <c:strRef>
              <c:f>Distribution!$BC$3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Distribution!$AZ$5:$AZ$24</c:f>
              <c:numCache>
                <c:formatCode>General</c:formatCode>
                <c:ptCount val="20"/>
                <c:pt idx="0">
                  <c:v>1.25</c:v>
                </c:pt>
                <c:pt idx="1">
                  <c:v>1.3</c:v>
                </c:pt>
                <c:pt idx="2">
                  <c:v>1.35</c:v>
                </c:pt>
                <c:pt idx="3">
                  <c:v>1.4</c:v>
                </c:pt>
                <c:pt idx="4">
                  <c:v>1.45</c:v>
                </c:pt>
                <c:pt idx="5">
                  <c:v>1.5</c:v>
                </c:pt>
                <c:pt idx="6">
                  <c:v>1.55</c:v>
                </c:pt>
                <c:pt idx="7">
                  <c:v>1.6</c:v>
                </c:pt>
                <c:pt idx="8">
                  <c:v>1.65</c:v>
                </c:pt>
                <c:pt idx="9">
                  <c:v>1.7</c:v>
                </c:pt>
                <c:pt idx="10">
                  <c:v>1.75</c:v>
                </c:pt>
                <c:pt idx="11">
                  <c:v>1.8</c:v>
                </c:pt>
                <c:pt idx="12">
                  <c:v>1.85</c:v>
                </c:pt>
                <c:pt idx="13">
                  <c:v>1.9</c:v>
                </c:pt>
                <c:pt idx="14">
                  <c:v>1.95</c:v>
                </c:pt>
                <c:pt idx="15">
                  <c:v>2</c:v>
                </c:pt>
                <c:pt idx="16">
                  <c:v>2.0499999999999998</c:v>
                </c:pt>
                <c:pt idx="17">
                  <c:v>2.1</c:v>
                </c:pt>
                <c:pt idx="18">
                  <c:v>2.15</c:v>
                </c:pt>
                <c:pt idx="19">
                  <c:v>2.2000000000000002</c:v>
                </c:pt>
              </c:numCache>
            </c:numRef>
          </c:cat>
          <c:val>
            <c:numRef>
              <c:f>Distribution!$BC$5:$BC$24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17</c:v>
                </c:pt>
                <c:pt idx="8">
                  <c:v>22</c:v>
                </c:pt>
                <c:pt idx="9">
                  <c:v>32</c:v>
                </c:pt>
                <c:pt idx="10">
                  <c:v>14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3"/>
          <c:order val="3"/>
          <c:tx>
            <c:strRef>
              <c:f>Distribution!$BD$3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Distribution!$AZ$5:$AZ$24</c:f>
              <c:numCache>
                <c:formatCode>General</c:formatCode>
                <c:ptCount val="20"/>
                <c:pt idx="0">
                  <c:v>1.25</c:v>
                </c:pt>
                <c:pt idx="1">
                  <c:v>1.3</c:v>
                </c:pt>
                <c:pt idx="2">
                  <c:v>1.35</c:v>
                </c:pt>
                <c:pt idx="3">
                  <c:v>1.4</c:v>
                </c:pt>
                <c:pt idx="4">
                  <c:v>1.45</c:v>
                </c:pt>
                <c:pt idx="5">
                  <c:v>1.5</c:v>
                </c:pt>
                <c:pt idx="6">
                  <c:v>1.55</c:v>
                </c:pt>
                <c:pt idx="7">
                  <c:v>1.6</c:v>
                </c:pt>
                <c:pt idx="8">
                  <c:v>1.65</c:v>
                </c:pt>
                <c:pt idx="9">
                  <c:v>1.7</c:v>
                </c:pt>
                <c:pt idx="10">
                  <c:v>1.75</c:v>
                </c:pt>
                <c:pt idx="11">
                  <c:v>1.8</c:v>
                </c:pt>
                <c:pt idx="12">
                  <c:v>1.85</c:v>
                </c:pt>
                <c:pt idx="13">
                  <c:v>1.9</c:v>
                </c:pt>
                <c:pt idx="14">
                  <c:v>1.95</c:v>
                </c:pt>
                <c:pt idx="15">
                  <c:v>2</c:v>
                </c:pt>
                <c:pt idx="16">
                  <c:v>2.0499999999999998</c:v>
                </c:pt>
                <c:pt idx="17">
                  <c:v>2.1</c:v>
                </c:pt>
                <c:pt idx="18">
                  <c:v>2.15</c:v>
                </c:pt>
                <c:pt idx="19">
                  <c:v>2.2000000000000002</c:v>
                </c:pt>
              </c:numCache>
            </c:numRef>
          </c:cat>
          <c:val>
            <c:numRef>
              <c:f>Distribution!$BD$5:$BD$24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55</c:v>
                </c:pt>
                <c:pt idx="9">
                  <c:v>34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363272"/>
        <c:axId val="142995784"/>
      </c:barChart>
      <c:catAx>
        <c:axId val="14136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2995784"/>
        <c:crosses val="autoZero"/>
        <c:auto val="1"/>
        <c:lblAlgn val="ctr"/>
        <c:lblOffset val="100"/>
        <c:noMultiLvlLbl val="0"/>
      </c:catAx>
      <c:valAx>
        <c:axId val="1429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136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一様分布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Distribution!$AA$3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Distribution!$Z$5:$Z$24</c:f>
              <c:numCache>
                <c:formatCode>General</c:formatCode>
                <c:ptCount val="2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0.50999999999999901</c:v>
                </c:pt>
                <c:pt idx="11">
                  <c:v>0.51999999999999902</c:v>
                </c:pt>
                <c:pt idx="12">
                  <c:v>0.52999999999999903</c:v>
                </c:pt>
                <c:pt idx="13">
                  <c:v>0.53999999999999904</c:v>
                </c:pt>
                <c:pt idx="14">
                  <c:v>0.54999999999999905</c:v>
                </c:pt>
                <c:pt idx="15">
                  <c:v>0.55999999999999905</c:v>
                </c:pt>
                <c:pt idx="16">
                  <c:v>0.56999999999999895</c:v>
                </c:pt>
                <c:pt idx="17">
                  <c:v>0.57999999999999896</c:v>
                </c:pt>
                <c:pt idx="18">
                  <c:v>0.58999999999999897</c:v>
                </c:pt>
                <c:pt idx="19">
                  <c:v>0.59999999999999898</c:v>
                </c:pt>
              </c:numCache>
            </c:numRef>
          </c:cat>
          <c:val>
            <c:numRef>
              <c:f>Distribution!$AA$5:$AA$24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strRef>
              <c:f>Distribution!$AB$3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Distribution!$Z$5:$Z$24</c:f>
              <c:numCache>
                <c:formatCode>General</c:formatCode>
                <c:ptCount val="2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0.50999999999999901</c:v>
                </c:pt>
                <c:pt idx="11">
                  <c:v>0.51999999999999902</c:v>
                </c:pt>
                <c:pt idx="12">
                  <c:v>0.52999999999999903</c:v>
                </c:pt>
                <c:pt idx="13">
                  <c:v>0.53999999999999904</c:v>
                </c:pt>
                <c:pt idx="14">
                  <c:v>0.54999999999999905</c:v>
                </c:pt>
                <c:pt idx="15">
                  <c:v>0.55999999999999905</c:v>
                </c:pt>
                <c:pt idx="16">
                  <c:v>0.56999999999999895</c:v>
                </c:pt>
                <c:pt idx="17">
                  <c:v>0.57999999999999896</c:v>
                </c:pt>
                <c:pt idx="18">
                  <c:v>0.58999999999999897</c:v>
                </c:pt>
                <c:pt idx="19">
                  <c:v>0.59999999999999898</c:v>
                </c:pt>
              </c:numCache>
            </c:numRef>
          </c:cat>
          <c:val>
            <c:numRef>
              <c:f>Distribution!$AB$5:$AB$24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11</c:v>
                </c:pt>
                <c:pt idx="7">
                  <c:v>9</c:v>
                </c:pt>
                <c:pt idx="8">
                  <c:v>20</c:v>
                </c:pt>
                <c:pt idx="9">
                  <c:v>8</c:v>
                </c:pt>
                <c:pt idx="10">
                  <c:v>14</c:v>
                </c:pt>
                <c:pt idx="11">
                  <c:v>11</c:v>
                </c:pt>
                <c:pt idx="12">
                  <c:v>6</c:v>
                </c:pt>
                <c:pt idx="13">
                  <c:v>3</c:v>
                </c:pt>
                <c:pt idx="14">
                  <c:v>7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</c:ser>
        <c:ser>
          <c:idx val="2"/>
          <c:order val="2"/>
          <c:tx>
            <c:strRef>
              <c:f>Distribution!$AC$3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Distribution!$Z$5:$Z$24</c:f>
              <c:numCache>
                <c:formatCode>General</c:formatCode>
                <c:ptCount val="2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0.50999999999999901</c:v>
                </c:pt>
                <c:pt idx="11">
                  <c:v>0.51999999999999902</c:v>
                </c:pt>
                <c:pt idx="12">
                  <c:v>0.52999999999999903</c:v>
                </c:pt>
                <c:pt idx="13">
                  <c:v>0.53999999999999904</c:v>
                </c:pt>
                <c:pt idx="14">
                  <c:v>0.54999999999999905</c:v>
                </c:pt>
                <c:pt idx="15">
                  <c:v>0.55999999999999905</c:v>
                </c:pt>
                <c:pt idx="16">
                  <c:v>0.56999999999999895</c:v>
                </c:pt>
                <c:pt idx="17">
                  <c:v>0.57999999999999896</c:v>
                </c:pt>
                <c:pt idx="18">
                  <c:v>0.58999999999999897</c:v>
                </c:pt>
                <c:pt idx="19">
                  <c:v>0.59999999999999898</c:v>
                </c:pt>
              </c:numCache>
            </c:numRef>
          </c:cat>
          <c:val>
            <c:numRef>
              <c:f>Distribution!$AC$5:$AC$24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43</c:v>
                </c:pt>
                <c:pt idx="10">
                  <c:v>36</c:v>
                </c:pt>
                <c:pt idx="11">
                  <c:v>6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3"/>
          <c:order val="3"/>
          <c:tx>
            <c:strRef>
              <c:f>Distribution!$AD$3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Distribution!$Z$5:$Z$24</c:f>
              <c:numCache>
                <c:formatCode>General</c:formatCode>
                <c:ptCount val="20"/>
                <c:pt idx="0">
                  <c:v>0.41</c:v>
                </c:pt>
                <c:pt idx="1">
                  <c:v>0.42</c:v>
                </c:pt>
                <c:pt idx="2">
                  <c:v>0.43</c:v>
                </c:pt>
                <c:pt idx="3">
                  <c:v>0.44</c:v>
                </c:pt>
                <c:pt idx="4">
                  <c:v>0.45</c:v>
                </c:pt>
                <c:pt idx="5">
                  <c:v>0.46</c:v>
                </c:pt>
                <c:pt idx="6">
                  <c:v>0.47</c:v>
                </c:pt>
                <c:pt idx="7">
                  <c:v>0.48</c:v>
                </c:pt>
                <c:pt idx="8">
                  <c:v>0.49</c:v>
                </c:pt>
                <c:pt idx="9">
                  <c:v>0.5</c:v>
                </c:pt>
                <c:pt idx="10">
                  <c:v>0.50999999999999901</c:v>
                </c:pt>
                <c:pt idx="11">
                  <c:v>0.51999999999999902</c:v>
                </c:pt>
                <c:pt idx="12">
                  <c:v>0.52999999999999903</c:v>
                </c:pt>
                <c:pt idx="13">
                  <c:v>0.53999999999999904</c:v>
                </c:pt>
                <c:pt idx="14">
                  <c:v>0.54999999999999905</c:v>
                </c:pt>
                <c:pt idx="15">
                  <c:v>0.55999999999999905</c:v>
                </c:pt>
                <c:pt idx="16">
                  <c:v>0.56999999999999895</c:v>
                </c:pt>
                <c:pt idx="17">
                  <c:v>0.57999999999999896</c:v>
                </c:pt>
                <c:pt idx="18">
                  <c:v>0.58999999999999897</c:v>
                </c:pt>
                <c:pt idx="19">
                  <c:v>0.59999999999999898</c:v>
                </c:pt>
              </c:numCache>
            </c:numRef>
          </c:cat>
          <c:val>
            <c:numRef>
              <c:f>Distribution!$AD$5:$AD$24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53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3472216"/>
        <c:axId val="483475352"/>
      </c:barChart>
      <c:catAx>
        <c:axId val="48347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3475352"/>
        <c:crosses val="autoZero"/>
        <c:auto val="1"/>
        <c:lblAlgn val="ctr"/>
        <c:lblOffset val="100"/>
        <c:noMultiLvlLbl val="0"/>
      </c:catAx>
      <c:valAx>
        <c:axId val="48347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347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自由度</a:t>
            </a:r>
            <a:r>
              <a:rPr lang="en-US" altLang="ja-JP"/>
              <a:t>n-1</a:t>
            </a:r>
            <a:r>
              <a:rPr lang="ja-JP" altLang="en-US"/>
              <a:t>の</a:t>
            </a:r>
            <a:r>
              <a:rPr lang="en-US" altLang="ja-JP"/>
              <a:t>t</a:t>
            </a:r>
            <a:r>
              <a:rPr lang="ja-JP" altLang="en-US"/>
              <a:t>分布と正規分布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Distribution!$G$4</c:f>
              <c:strCache>
                <c:ptCount val="1"/>
                <c:pt idx="0">
                  <c:v>正規分布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Distribution!$F$9:$F$21</c:f>
              <c:numCache>
                <c:formatCode>General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xVal>
          <c:yVal>
            <c:numRef>
              <c:f>Distribution!$G$9:$G$21</c:f>
              <c:numCache>
                <c:formatCode>0.000E+00</c:formatCode>
                <c:ptCount val="13"/>
                <c:pt idx="0">
                  <c:v>4.4318484119380075E-3</c:v>
                </c:pt>
                <c:pt idx="1">
                  <c:v>1.752830049356854E-2</c:v>
                </c:pt>
                <c:pt idx="2">
                  <c:v>5.3990966513188063E-2</c:v>
                </c:pt>
                <c:pt idx="3">
                  <c:v>0.12951759566589174</c:v>
                </c:pt>
                <c:pt idx="4">
                  <c:v>0.24197072451914337</c:v>
                </c:pt>
                <c:pt idx="5">
                  <c:v>0.35206532676429952</c:v>
                </c:pt>
                <c:pt idx="6">
                  <c:v>0.3989422804014327</c:v>
                </c:pt>
                <c:pt idx="7">
                  <c:v>0.35206532676429952</c:v>
                </c:pt>
                <c:pt idx="8">
                  <c:v>0.24197072451914337</c:v>
                </c:pt>
                <c:pt idx="9">
                  <c:v>0.12951759566589174</c:v>
                </c:pt>
                <c:pt idx="10">
                  <c:v>5.3990966513188063E-2</c:v>
                </c:pt>
                <c:pt idx="11">
                  <c:v>1.752830049356854E-2</c:v>
                </c:pt>
                <c:pt idx="12">
                  <c:v>4.4318484119380075E-3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Distribution!$H$4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Distribution!$F$9:$F$21</c:f>
              <c:numCache>
                <c:formatCode>General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xVal>
          <c:yVal>
            <c:numRef>
              <c:f>Distribution!$H$9:$H$21</c:f>
              <c:numCache>
                <c:formatCode>0.000E+00</c:formatCode>
                <c:ptCount val="13"/>
                <c:pt idx="0">
                  <c:v>1.2126090902239641E-2</c:v>
                </c:pt>
                <c:pt idx="1">
                  <c:v>2.7780120592759115E-2</c:v>
                </c:pt>
                <c:pt idx="2">
                  <c:v>6.1711568313873859E-2</c:v>
                </c:pt>
                <c:pt idx="3">
                  <c:v>0.12715127893906839</c:v>
                </c:pt>
                <c:pt idx="4">
                  <c:v>0.2291307333396316</c:v>
                </c:pt>
                <c:pt idx="5">
                  <c:v>0.33835662268275635</c:v>
                </c:pt>
                <c:pt idx="6">
                  <c:v>0.38803490887166864</c:v>
                </c:pt>
                <c:pt idx="7">
                  <c:v>0.33835662268275635</c:v>
                </c:pt>
                <c:pt idx="8">
                  <c:v>0.2291307333396316</c:v>
                </c:pt>
                <c:pt idx="9">
                  <c:v>0.12715127893906839</c:v>
                </c:pt>
                <c:pt idx="10">
                  <c:v>6.1711568313873859E-2</c:v>
                </c:pt>
                <c:pt idx="11">
                  <c:v>2.7780120592759115E-2</c:v>
                </c:pt>
                <c:pt idx="12">
                  <c:v>1.2126090902239641E-2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Distribution!$I$4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Distribution!$F$9:$F$21</c:f>
              <c:numCache>
                <c:formatCode>General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xVal>
          <c:yVal>
            <c:numRef>
              <c:f>Distribution!$I$9:$I$21</c:f>
              <c:numCache>
                <c:formatCode>0.000E+00</c:formatCode>
                <c:ptCount val="13"/>
                <c:pt idx="0">
                  <c:v>5.8599861965602865E-3</c:v>
                </c:pt>
                <c:pt idx="1">
                  <c:v>1.9737374118229057E-2</c:v>
                </c:pt>
                <c:pt idx="2">
                  <c:v>5.5808415470971047E-2</c:v>
                </c:pt>
                <c:pt idx="3">
                  <c:v>0.12919618476733519</c:v>
                </c:pt>
                <c:pt idx="4">
                  <c:v>0.2395225042751398</c:v>
                </c:pt>
                <c:pt idx="5">
                  <c:v>0.34949467351538244</c:v>
                </c:pt>
                <c:pt idx="6">
                  <c:v>0.39691218468210782</c:v>
                </c:pt>
                <c:pt idx="7">
                  <c:v>0.34949467351538244</c:v>
                </c:pt>
                <c:pt idx="8">
                  <c:v>0.2395225042751398</c:v>
                </c:pt>
                <c:pt idx="9">
                  <c:v>0.12919618476733519</c:v>
                </c:pt>
                <c:pt idx="10">
                  <c:v>5.5808415470971047E-2</c:v>
                </c:pt>
                <c:pt idx="11">
                  <c:v>1.9737374118229057E-2</c:v>
                </c:pt>
                <c:pt idx="12">
                  <c:v>5.8599861965602865E-3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Distribution!$J$4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Distribution!$F$9:$F$21</c:f>
              <c:numCache>
                <c:formatCode>General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xVal>
          <c:yVal>
            <c:numRef>
              <c:f>Distribution!$J$9:$J$21</c:f>
              <c:numCache>
                <c:formatCode>0.000E+00</c:formatCode>
                <c:ptCount val="13"/>
                <c:pt idx="0">
                  <c:v>5.1331663279579201E-3</c:v>
                </c:pt>
                <c:pt idx="1">
                  <c:v>1.8640943311069597E-2</c:v>
                </c:pt>
                <c:pt idx="2">
                  <c:v>5.4917641266144644E-2</c:v>
                </c:pt>
                <c:pt idx="3">
                  <c:v>0.12936640714178749</c:v>
                </c:pt>
                <c:pt idx="4">
                  <c:v>0.24075377807984838</c:v>
                </c:pt>
                <c:pt idx="5">
                  <c:v>0.35079010900212154</c:v>
                </c:pt>
                <c:pt idx="6">
                  <c:v>0.3979361384240756</c:v>
                </c:pt>
                <c:pt idx="7">
                  <c:v>0.35079010900212154</c:v>
                </c:pt>
                <c:pt idx="8">
                  <c:v>0.24075377807984838</c:v>
                </c:pt>
                <c:pt idx="9">
                  <c:v>0.12936640714178749</c:v>
                </c:pt>
                <c:pt idx="10">
                  <c:v>5.4917641266144644E-2</c:v>
                </c:pt>
                <c:pt idx="11">
                  <c:v>1.8640943311069597E-2</c:v>
                </c:pt>
                <c:pt idx="12">
                  <c:v>5.1331663279579201E-3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445824"/>
        <c:axId val="573445432"/>
      </c:scatterChart>
      <c:valAx>
        <c:axId val="57344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3445432"/>
        <c:crosses val="autoZero"/>
        <c:crossBetween val="midCat"/>
      </c:valAx>
      <c:valAx>
        <c:axId val="57344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344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度数分布</a:t>
            </a:r>
            <a:r>
              <a:rPr lang="en-US" altLang="ja-JP"/>
              <a:t>(100</a:t>
            </a:r>
            <a:r>
              <a:rPr lang="en-US" altLang="ja-JP" sz="1400" b="0" i="0" u="none" strike="noStrike" baseline="0">
                <a:effectLst/>
              </a:rPr>
              <a:t>Sample </a:t>
            </a:r>
            <a:r>
              <a:rPr lang="en-US" altLang="ja-JP"/>
              <a:t>)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BS!$W$18:$W$48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BS!$X$18:$X$48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10</c:v>
                </c:pt>
                <c:pt idx="15">
                  <c:v>13</c:v>
                </c:pt>
                <c:pt idx="16">
                  <c:v>15</c:v>
                </c:pt>
                <c:pt idx="17">
                  <c:v>15</c:v>
                </c:pt>
                <c:pt idx="18">
                  <c:v>8</c:v>
                </c:pt>
                <c:pt idx="19">
                  <c:v>7</c:v>
                </c:pt>
                <c:pt idx="20">
                  <c:v>5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BS!$Y$18:$Y$48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12</c:v>
                </c:pt>
                <c:pt idx="16">
                  <c:v>37</c:v>
                </c:pt>
                <c:pt idx="17">
                  <c:v>32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BS!$Z$18:$Z$48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66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BS!$AA$18:$AA$48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75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270336"/>
        <c:axId val="477271512"/>
      </c:barChart>
      <c:catAx>
        <c:axId val="47727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7271512"/>
        <c:crosses val="autoZero"/>
        <c:auto val="1"/>
        <c:lblAlgn val="ctr"/>
        <c:lblOffset val="100"/>
        <c:noMultiLvlLbl val="0"/>
      </c:catAx>
      <c:valAx>
        <c:axId val="47727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727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度数分布</a:t>
            </a:r>
            <a:r>
              <a:rPr lang="en-US"/>
              <a:t>(100sample)</a:t>
            </a:r>
            <a:endParaRPr 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BS!$I$17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BS!$H$19:$H$88</c:f>
              <c:numCache>
                <c:formatCode>General</c:formatCode>
                <c:ptCount val="70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  <c:pt idx="22">
                  <c:v>16.5</c:v>
                </c:pt>
                <c:pt idx="23">
                  <c:v>17</c:v>
                </c:pt>
                <c:pt idx="24">
                  <c:v>17.5</c:v>
                </c:pt>
                <c:pt idx="25">
                  <c:v>18</c:v>
                </c:pt>
                <c:pt idx="26">
                  <c:v>18.5</c:v>
                </c:pt>
                <c:pt idx="27">
                  <c:v>19</c:v>
                </c:pt>
                <c:pt idx="28">
                  <c:v>19.5</c:v>
                </c:pt>
                <c:pt idx="29">
                  <c:v>20</c:v>
                </c:pt>
                <c:pt idx="30">
                  <c:v>20.5</c:v>
                </c:pt>
                <c:pt idx="31">
                  <c:v>21</c:v>
                </c:pt>
                <c:pt idx="32">
                  <c:v>21.5</c:v>
                </c:pt>
                <c:pt idx="33">
                  <c:v>22</c:v>
                </c:pt>
                <c:pt idx="34">
                  <c:v>22.5</c:v>
                </c:pt>
                <c:pt idx="35">
                  <c:v>23</c:v>
                </c:pt>
                <c:pt idx="36">
                  <c:v>23.5</c:v>
                </c:pt>
                <c:pt idx="37">
                  <c:v>24</c:v>
                </c:pt>
                <c:pt idx="38">
                  <c:v>24.5</c:v>
                </c:pt>
                <c:pt idx="39">
                  <c:v>25</c:v>
                </c:pt>
                <c:pt idx="40">
                  <c:v>25.5</c:v>
                </c:pt>
                <c:pt idx="41">
                  <c:v>26</c:v>
                </c:pt>
                <c:pt idx="42">
                  <c:v>26.5</c:v>
                </c:pt>
                <c:pt idx="43">
                  <c:v>27</c:v>
                </c:pt>
                <c:pt idx="44">
                  <c:v>27.5</c:v>
                </c:pt>
                <c:pt idx="45">
                  <c:v>28</c:v>
                </c:pt>
                <c:pt idx="46">
                  <c:v>28.5</c:v>
                </c:pt>
                <c:pt idx="47">
                  <c:v>29</c:v>
                </c:pt>
                <c:pt idx="48">
                  <c:v>29.5</c:v>
                </c:pt>
                <c:pt idx="49">
                  <c:v>30</c:v>
                </c:pt>
                <c:pt idx="50">
                  <c:v>30.5</c:v>
                </c:pt>
                <c:pt idx="51">
                  <c:v>31</c:v>
                </c:pt>
                <c:pt idx="52">
                  <c:v>31.5</c:v>
                </c:pt>
                <c:pt idx="53">
                  <c:v>32</c:v>
                </c:pt>
                <c:pt idx="54">
                  <c:v>32.5</c:v>
                </c:pt>
                <c:pt idx="55">
                  <c:v>33</c:v>
                </c:pt>
                <c:pt idx="56">
                  <c:v>33.5</c:v>
                </c:pt>
                <c:pt idx="57">
                  <c:v>34</c:v>
                </c:pt>
                <c:pt idx="58">
                  <c:v>34.5</c:v>
                </c:pt>
                <c:pt idx="59">
                  <c:v>35</c:v>
                </c:pt>
                <c:pt idx="60">
                  <c:v>35.5</c:v>
                </c:pt>
                <c:pt idx="61">
                  <c:v>36</c:v>
                </c:pt>
                <c:pt idx="62">
                  <c:v>36.5</c:v>
                </c:pt>
                <c:pt idx="63">
                  <c:v>37</c:v>
                </c:pt>
                <c:pt idx="64">
                  <c:v>37.5</c:v>
                </c:pt>
                <c:pt idx="65">
                  <c:v>38</c:v>
                </c:pt>
                <c:pt idx="66">
                  <c:v>38.5</c:v>
                </c:pt>
                <c:pt idx="67">
                  <c:v>39</c:v>
                </c:pt>
                <c:pt idx="68">
                  <c:v>39.5</c:v>
                </c:pt>
                <c:pt idx="69">
                  <c:v>40</c:v>
                </c:pt>
              </c:numCache>
            </c:numRef>
          </c:cat>
          <c:val>
            <c:numRef>
              <c:f>BS!$I$19:$I$88</c:f>
              <c:numCache>
                <c:formatCode>General</c:formatCode>
                <c:ptCount val="70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0</c:v>
                </c:pt>
                <c:pt idx="32">
                  <c:v>4</c:v>
                </c:pt>
                <c:pt idx="33">
                  <c:v>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2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2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</c:ser>
        <c:ser>
          <c:idx val="1"/>
          <c:order val="1"/>
          <c:tx>
            <c:strRef>
              <c:f>BS!$J$17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BS!$H$19:$H$88</c:f>
              <c:numCache>
                <c:formatCode>General</c:formatCode>
                <c:ptCount val="70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  <c:pt idx="22">
                  <c:v>16.5</c:v>
                </c:pt>
                <c:pt idx="23">
                  <c:v>17</c:v>
                </c:pt>
                <c:pt idx="24">
                  <c:v>17.5</c:v>
                </c:pt>
                <c:pt idx="25">
                  <c:v>18</c:v>
                </c:pt>
                <c:pt idx="26">
                  <c:v>18.5</c:v>
                </c:pt>
                <c:pt idx="27">
                  <c:v>19</c:v>
                </c:pt>
                <c:pt idx="28">
                  <c:v>19.5</c:v>
                </c:pt>
                <c:pt idx="29">
                  <c:v>20</c:v>
                </c:pt>
                <c:pt idx="30">
                  <c:v>20.5</c:v>
                </c:pt>
                <c:pt idx="31">
                  <c:v>21</c:v>
                </c:pt>
                <c:pt idx="32">
                  <c:v>21.5</c:v>
                </c:pt>
                <c:pt idx="33">
                  <c:v>22</c:v>
                </c:pt>
                <c:pt idx="34">
                  <c:v>22.5</c:v>
                </c:pt>
                <c:pt idx="35">
                  <c:v>23</c:v>
                </c:pt>
                <c:pt idx="36">
                  <c:v>23.5</c:v>
                </c:pt>
                <c:pt idx="37">
                  <c:v>24</c:v>
                </c:pt>
                <c:pt idx="38">
                  <c:v>24.5</c:v>
                </c:pt>
                <c:pt idx="39">
                  <c:v>25</c:v>
                </c:pt>
                <c:pt idx="40">
                  <c:v>25.5</c:v>
                </c:pt>
                <c:pt idx="41">
                  <c:v>26</c:v>
                </c:pt>
                <c:pt idx="42">
                  <c:v>26.5</c:v>
                </c:pt>
                <c:pt idx="43">
                  <c:v>27</c:v>
                </c:pt>
                <c:pt idx="44">
                  <c:v>27.5</c:v>
                </c:pt>
                <c:pt idx="45">
                  <c:v>28</c:v>
                </c:pt>
                <c:pt idx="46">
                  <c:v>28.5</c:v>
                </c:pt>
                <c:pt idx="47">
                  <c:v>29</c:v>
                </c:pt>
                <c:pt idx="48">
                  <c:v>29.5</c:v>
                </c:pt>
                <c:pt idx="49">
                  <c:v>30</c:v>
                </c:pt>
                <c:pt idx="50">
                  <c:v>30.5</c:v>
                </c:pt>
                <c:pt idx="51">
                  <c:v>31</c:v>
                </c:pt>
                <c:pt idx="52">
                  <c:v>31.5</c:v>
                </c:pt>
                <c:pt idx="53">
                  <c:v>32</c:v>
                </c:pt>
                <c:pt idx="54">
                  <c:v>32.5</c:v>
                </c:pt>
                <c:pt idx="55">
                  <c:v>33</c:v>
                </c:pt>
                <c:pt idx="56">
                  <c:v>33.5</c:v>
                </c:pt>
                <c:pt idx="57">
                  <c:v>34</c:v>
                </c:pt>
                <c:pt idx="58">
                  <c:v>34.5</c:v>
                </c:pt>
                <c:pt idx="59">
                  <c:v>35</c:v>
                </c:pt>
                <c:pt idx="60">
                  <c:v>35.5</c:v>
                </c:pt>
                <c:pt idx="61">
                  <c:v>36</c:v>
                </c:pt>
                <c:pt idx="62">
                  <c:v>36.5</c:v>
                </c:pt>
                <c:pt idx="63">
                  <c:v>37</c:v>
                </c:pt>
                <c:pt idx="64">
                  <c:v>37.5</c:v>
                </c:pt>
                <c:pt idx="65">
                  <c:v>38</c:v>
                </c:pt>
                <c:pt idx="66">
                  <c:v>38.5</c:v>
                </c:pt>
                <c:pt idx="67">
                  <c:v>39</c:v>
                </c:pt>
                <c:pt idx="68">
                  <c:v>39.5</c:v>
                </c:pt>
                <c:pt idx="69">
                  <c:v>40</c:v>
                </c:pt>
              </c:numCache>
            </c:numRef>
          </c:cat>
          <c:val>
            <c:numRef>
              <c:f>BS!$J$19:$J$88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1</c:v>
                </c:pt>
                <c:pt idx="26">
                  <c:v>2</c:v>
                </c:pt>
                <c:pt idx="27">
                  <c:v>5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4</c:v>
                </c:pt>
                <c:pt idx="34">
                  <c:v>1</c:v>
                </c:pt>
                <c:pt idx="35">
                  <c:v>3</c:v>
                </c:pt>
                <c:pt idx="36">
                  <c:v>1</c:v>
                </c:pt>
                <c:pt idx="37">
                  <c:v>3</c:v>
                </c:pt>
                <c:pt idx="38">
                  <c:v>4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</c:ser>
        <c:ser>
          <c:idx val="2"/>
          <c:order val="2"/>
          <c:tx>
            <c:strRef>
              <c:f>BS!$K$17</c:f>
              <c:strCache>
                <c:ptCount val="1"/>
                <c:pt idx="0">
                  <c:v>1000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BS!$H$19:$H$88</c:f>
              <c:numCache>
                <c:formatCode>General</c:formatCode>
                <c:ptCount val="70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  <c:pt idx="22">
                  <c:v>16.5</c:v>
                </c:pt>
                <c:pt idx="23">
                  <c:v>17</c:v>
                </c:pt>
                <c:pt idx="24">
                  <c:v>17.5</c:v>
                </c:pt>
                <c:pt idx="25">
                  <c:v>18</c:v>
                </c:pt>
                <c:pt idx="26">
                  <c:v>18.5</c:v>
                </c:pt>
                <c:pt idx="27">
                  <c:v>19</c:v>
                </c:pt>
                <c:pt idx="28">
                  <c:v>19.5</c:v>
                </c:pt>
                <c:pt idx="29">
                  <c:v>20</c:v>
                </c:pt>
                <c:pt idx="30">
                  <c:v>20.5</c:v>
                </c:pt>
                <c:pt idx="31">
                  <c:v>21</c:v>
                </c:pt>
                <c:pt idx="32">
                  <c:v>21.5</c:v>
                </c:pt>
                <c:pt idx="33">
                  <c:v>22</c:v>
                </c:pt>
                <c:pt idx="34">
                  <c:v>22.5</c:v>
                </c:pt>
                <c:pt idx="35">
                  <c:v>23</c:v>
                </c:pt>
                <c:pt idx="36">
                  <c:v>23.5</c:v>
                </c:pt>
                <c:pt idx="37">
                  <c:v>24</c:v>
                </c:pt>
                <c:pt idx="38">
                  <c:v>24.5</c:v>
                </c:pt>
                <c:pt idx="39">
                  <c:v>25</c:v>
                </c:pt>
                <c:pt idx="40">
                  <c:v>25.5</c:v>
                </c:pt>
                <c:pt idx="41">
                  <c:v>26</c:v>
                </c:pt>
                <c:pt idx="42">
                  <c:v>26.5</c:v>
                </c:pt>
                <c:pt idx="43">
                  <c:v>27</c:v>
                </c:pt>
                <c:pt idx="44">
                  <c:v>27.5</c:v>
                </c:pt>
                <c:pt idx="45">
                  <c:v>28</c:v>
                </c:pt>
                <c:pt idx="46">
                  <c:v>28.5</c:v>
                </c:pt>
                <c:pt idx="47">
                  <c:v>29</c:v>
                </c:pt>
                <c:pt idx="48">
                  <c:v>29.5</c:v>
                </c:pt>
                <c:pt idx="49">
                  <c:v>30</c:v>
                </c:pt>
                <c:pt idx="50">
                  <c:v>30.5</c:v>
                </c:pt>
                <c:pt idx="51">
                  <c:v>31</c:v>
                </c:pt>
                <c:pt idx="52">
                  <c:v>31.5</c:v>
                </c:pt>
                <c:pt idx="53">
                  <c:v>32</c:v>
                </c:pt>
                <c:pt idx="54">
                  <c:v>32.5</c:v>
                </c:pt>
                <c:pt idx="55">
                  <c:v>33</c:v>
                </c:pt>
                <c:pt idx="56">
                  <c:v>33.5</c:v>
                </c:pt>
                <c:pt idx="57">
                  <c:v>34</c:v>
                </c:pt>
                <c:pt idx="58">
                  <c:v>34.5</c:v>
                </c:pt>
                <c:pt idx="59">
                  <c:v>35</c:v>
                </c:pt>
                <c:pt idx="60">
                  <c:v>35.5</c:v>
                </c:pt>
                <c:pt idx="61">
                  <c:v>36</c:v>
                </c:pt>
                <c:pt idx="62">
                  <c:v>36.5</c:v>
                </c:pt>
                <c:pt idx="63">
                  <c:v>37</c:v>
                </c:pt>
                <c:pt idx="64">
                  <c:v>37.5</c:v>
                </c:pt>
                <c:pt idx="65">
                  <c:v>38</c:v>
                </c:pt>
                <c:pt idx="66">
                  <c:v>38.5</c:v>
                </c:pt>
                <c:pt idx="67">
                  <c:v>39</c:v>
                </c:pt>
                <c:pt idx="68">
                  <c:v>39.5</c:v>
                </c:pt>
                <c:pt idx="69">
                  <c:v>40</c:v>
                </c:pt>
              </c:numCache>
            </c:numRef>
          </c:cat>
          <c:val>
            <c:numRef>
              <c:f>BS!$K$19:$K$88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4</c:v>
                </c:pt>
                <c:pt idx="31">
                  <c:v>6</c:v>
                </c:pt>
                <c:pt idx="32">
                  <c:v>6</c:v>
                </c:pt>
                <c:pt idx="33">
                  <c:v>9</c:v>
                </c:pt>
                <c:pt idx="34">
                  <c:v>9</c:v>
                </c:pt>
                <c:pt idx="35">
                  <c:v>12</c:v>
                </c:pt>
                <c:pt idx="36">
                  <c:v>8</c:v>
                </c:pt>
                <c:pt idx="37">
                  <c:v>9</c:v>
                </c:pt>
                <c:pt idx="38">
                  <c:v>9</c:v>
                </c:pt>
                <c:pt idx="39">
                  <c:v>5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</c:ser>
        <c:ser>
          <c:idx val="3"/>
          <c:order val="3"/>
          <c:tx>
            <c:strRef>
              <c:f>BS!$L$17</c:f>
              <c:strCache>
                <c:ptCount val="1"/>
                <c:pt idx="0">
                  <c:v>5000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BS!$H$19:$H$88</c:f>
              <c:numCache>
                <c:formatCode>General</c:formatCode>
                <c:ptCount val="70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  <c:pt idx="22">
                  <c:v>16.5</c:v>
                </c:pt>
                <c:pt idx="23">
                  <c:v>17</c:v>
                </c:pt>
                <c:pt idx="24">
                  <c:v>17.5</c:v>
                </c:pt>
                <c:pt idx="25">
                  <c:v>18</c:v>
                </c:pt>
                <c:pt idx="26">
                  <c:v>18.5</c:v>
                </c:pt>
                <c:pt idx="27">
                  <c:v>19</c:v>
                </c:pt>
                <c:pt idx="28">
                  <c:v>19.5</c:v>
                </c:pt>
                <c:pt idx="29">
                  <c:v>20</c:v>
                </c:pt>
                <c:pt idx="30">
                  <c:v>20.5</c:v>
                </c:pt>
                <c:pt idx="31">
                  <c:v>21</c:v>
                </c:pt>
                <c:pt idx="32">
                  <c:v>21.5</c:v>
                </c:pt>
                <c:pt idx="33">
                  <c:v>22</c:v>
                </c:pt>
                <c:pt idx="34">
                  <c:v>22.5</c:v>
                </c:pt>
                <c:pt idx="35">
                  <c:v>23</c:v>
                </c:pt>
                <c:pt idx="36">
                  <c:v>23.5</c:v>
                </c:pt>
                <c:pt idx="37">
                  <c:v>24</c:v>
                </c:pt>
                <c:pt idx="38">
                  <c:v>24.5</c:v>
                </c:pt>
                <c:pt idx="39">
                  <c:v>25</c:v>
                </c:pt>
                <c:pt idx="40">
                  <c:v>25.5</c:v>
                </c:pt>
                <c:pt idx="41">
                  <c:v>26</c:v>
                </c:pt>
                <c:pt idx="42">
                  <c:v>26.5</c:v>
                </c:pt>
                <c:pt idx="43">
                  <c:v>27</c:v>
                </c:pt>
                <c:pt idx="44">
                  <c:v>27.5</c:v>
                </c:pt>
                <c:pt idx="45">
                  <c:v>28</c:v>
                </c:pt>
                <c:pt idx="46">
                  <c:v>28.5</c:v>
                </c:pt>
                <c:pt idx="47">
                  <c:v>29</c:v>
                </c:pt>
                <c:pt idx="48">
                  <c:v>29.5</c:v>
                </c:pt>
                <c:pt idx="49">
                  <c:v>30</c:v>
                </c:pt>
                <c:pt idx="50">
                  <c:v>30.5</c:v>
                </c:pt>
                <c:pt idx="51">
                  <c:v>31</c:v>
                </c:pt>
                <c:pt idx="52">
                  <c:v>31.5</c:v>
                </c:pt>
                <c:pt idx="53">
                  <c:v>32</c:v>
                </c:pt>
                <c:pt idx="54">
                  <c:v>32.5</c:v>
                </c:pt>
                <c:pt idx="55">
                  <c:v>33</c:v>
                </c:pt>
                <c:pt idx="56">
                  <c:v>33.5</c:v>
                </c:pt>
                <c:pt idx="57">
                  <c:v>34</c:v>
                </c:pt>
                <c:pt idx="58">
                  <c:v>34.5</c:v>
                </c:pt>
                <c:pt idx="59">
                  <c:v>35</c:v>
                </c:pt>
                <c:pt idx="60">
                  <c:v>35.5</c:v>
                </c:pt>
                <c:pt idx="61">
                  <c:v>36</c:v>
                </c:pt>
                <c:pt idx="62">
                  <c:v>36.5</c:v>
                </c:pt>
                <c:pt idx="63">
                  <c:v>37</c:v>
                </c:pt>
                <c:pt idx="64">
                  <c:v>37.5</c:v>
                </c:pt>
                <c:pt idx="65">
                  <c:v>38</c:v>
                </c:pt>
                <c:pt idx="66">
                  <c:v>38.5</c:v>
                </c:pt>
                <c:pt idx="67">
                  <c:v>39</c:v>
                </c:pt>
                <c:pt idx="68">
                  <c:v>39.5</c:v>
                </c:pt>
                <c:pt idx="69">
                  <c:v>40</c:v>
                </c:pt>
              </c:numCache>
            </c:numRef>
          </c:cat>
          <c:val>
            <c:numRef>
              <c:f>BS!$L$19:$L$88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3</c:v>
                </c:pt>
                <c:pt idx="33">
                  <c:v>7</c:v>
                </c:pt>
                <c:pt idx="34">
                  <c:v>21</c:v>
                </c:pt>
                <c:pt idx="35">
                  <c:v>20</c:v>
                </c:pt>
                <c:pt idx="36">
                  <c:v>19</c:v>
                </c:pt>
                <c:pt idx="37">
                  <c:v>13</c:v>
                </c:pt>
                <c:pt idx="38">
                  <c:v>4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</c:ser>
        <c:ser>
          <c:idx val="4"/>
          <c:order val="4"/>
          <c:tx>
            <c:strRef>
              <c:f>BS!$M$17</c:f>
              <c:strCache>
                <c:ptCount val="1"/>
                <c:pt idx="0">
                  <c:v>10000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BS!$H$19:$H$88</c:f>
              <c:numCache>
                <c:formatCode>General</c:formatCode>
                <c:ptCount val="70"/>
                <c:pt idx="0">
                  <c:v>5.5</c:v>
                </c:pt>
                <c:pt idx="1">
                  <c:v>6</c:v>
                </c:pt>
                <c:pt idx="2">
                  <c:v>6.5</c:v>
                </c:pt>
                <c:pt idx="3">
                  <c:v>7</c:v>
                </c:pt>
                <c:pt idx="4">
                  <c:v>7.5</c:v>
                </c:pt>
                <c:pt idx="5">
                  <c:v>8</c:v>
                </c:pt>
                <c:pt idx="6">
                  <c:v>8.5</c:v>
                </c:pt>
                <c:pt idx="7">
                  <c:v>9</c:v>
                </c:pt>
                <c:pt idx="8">
                  <c:v>9.5</c:v>
                </c:pt>
                <c:pt idx="9">
                  <c:v>10</c:v>
                </c:pt>
                <c:pt idx="10">
                  <c:v>10.5</c:v>
                </c:pt>
                <c:pt idx="11">
                  <c:v>11</c:v>
                </c:pt>
                <c:pt idx="12">
                  <c:v>11.5</c:v>
                </c:pt>
                <c:pt idx="13">
                  <c:v>12</c:v>
                </c:pt>
                <c:pt idx="14">
                  <c:v>12.5</c:v>
                </c:pt>
                <c:pt idx="15">
                  <c:v>13</c:v>
                </c:pt>
                <c:pt idx="16">
                  <c:v>13.5</c:v>
                </c:pt>
                <c:pt idx="17">
                  <c:v>14</c:v>
                </c:pt>
                <c:pt idx="18">
                  <c:v>14.5</c:v>
                </c:pt>
                <c:pt idx="19">
                  <c:v>15</c:v>
                </c:pt>
                <c:pt idx="20">
                  <c:v>15.5</c:v>
                </c:pt>
                <c:pt idx="21">
                  <c:v>16</c:v>
                </c:pt>
                <c:pt idx="22">
                  <c:v>16.5</c:v>
                </c:pt>
                <c:pt idx="23">
                  <c:v>17</c:v>
                </c:pt>
                <c:pt idx="24">
                  <c:v>17.5</c:v>
                </c:pt>
                <c:pt idx="25">
                  <c:v>18</c:v>
                </c:pt>
                <c:pt idx="26">
                  <c:v>18.5</c:v>
                </c:pt>
                <c:pt idx="27">
                  <c:v>19</c:v>
                </c:pt>
                <c:pt idx="28">
                  <c:v>19.5</c:v>
                </c:pt>
                <c:pt idx="29">
                  <c:v>20</c:v>
                </c:pt>
                <c:pt idx="30">
                  <c:v>20.5</c:v>
                </c:pt>
                <c:pt idx="31">
                  <c:v>21</c:v>
                </c:pt>
                <c:pt idx="32">
                  <c:v>21.5</c:v>
                </c:pt>
                <c:pt idx="33">
                  <c:v>22</c:v>
                </c:pt>
                <c:pt idx="34">
                  <c:v>22.5</c:v>
                </c:pt>
                <c:pt idx="35">
                  <c:v>23</c:v>
                </c:pt>
                <c:pt idx="36">
                  <c:v>23.5</c:v>
                </c:pt>
                <c:pt idx="37">
                  <c:v>24</c:v>
                </c:pt>
                <c:pt idx="38">
                  <c:v>24.5</c:v>
                </c:pt>
                <c:pt idx="39">
                  <c:v>25</c:v>
                </c:pt>
                <c:pt idx="40">
                  <c:v>25.5</c:v>
                </c:pt>
                <c:pt idx="41">
                  <c:v>26</c:v>
                </c:pt>
                <c:pt idx="42">
                  <c:v>26.5</c:v>
                </c:pt>
                <c:pt idx="43">
                  <c:v>27</c:v>
                </c:pt>
                <c:pt idx="44">
                  <c:v>27.5</c:v>
                </c:pt>
                <c:pt idx="45">
                  <c:v>28</c:v>
                </c:pt>
                <c:pt idx="46">
                  <c:v>28.5</c:v>
                </c:pt>
                <c:pt idx="47">
                  <c:v>29</c:v>
                </c:pt>
                <c:pt idx="48">
                  <c:v>29.5</c:v>
                </c:pt>
                <c:pt idx="49">
                  <c:v>30</c:v>
                </c:pt>
                <c:pt idx="50">
                  <c:v>30.5</c:v>
                </c:pt>
                <c:pt idx="51">
                  <c:v>31</c:v>
                </c:pt>
                <c:pt idx="52">
                  <c:v>31.5</c:v>
                </c:pt>
                <c:pt idx="53">
                  <c:v>32</c:v>
                </c:pt>
                <c:pt idx="54">
                  <c:v>32.5</c:v>
                </c:pt>
                <c:pt idx="55">
                  <c:v>33</c:v>
                </c:pt>
                <c:pt idx="56">
                  <c:v>33.5</c:v>
                </c:pt>
                <c:pt idx="57">
                  <c:v>34</c:v>
                </c:pt>
                <c:pt idx="58">
                  <c:v>34.5</c:v>
                </c:pt>
                <c:pt idx="59">
                  <c:v>35</c:v>
                </c:pt>
                <c:pt idx="60">
                  <c:v>35.5</c:v>
                </c:pt>
                <c:pt idx="61">
                  <c:v>36</c:v>
                </c:pt>
                <c:pt idx="62">
                  <c:v>36.5</c:v>
                </c:pt>
                <c:pt idx="63">
                  <c:v>37</c:v>
                </c:pt>
                <c:pt idx="64">
                  <c:v>37.5</c:v>
                </c:pt>
                <c:pt idx="65">
                  <c:v>38</c:v>
                </c:pt>
                <c:pt idx="66">
                  <c:v>38.5</c:v>
                </c:pt>
                <c:pt idx="67">
                  <c:v>39</c:v>
                </c:pt>
                <c:pt idx="68">
                  <c:v>39.5</c:v>
                </c:pt>
                <c:pt idx="69">
                  <c:v>40</c:v>
                </c:pt>
              </c:numCache>
            </c:numRef>
          </c:cat>
          <c:val>
            <c:numRef>
              <c:f>BS!$M$19:$M$88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9</c:v>
                </c:pt>
                <c:pt idx="34">
                  <c:v>19</c:v>
                </c:pt>
                <c:pt idx="35">
                  <c:v>26</c:v>
                </c:pt>
                <c:pt idx="36">
                  <c:v>19</c:v>
                </c:pt>
                <c:pt idx="37">
                  <c:v>13</c:v>
                </c:pt>
                <c:pt idx="38">
                  <c:v>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4627744"/>
        <c:axId val="474628528"/>
      </c:barChart>
      <c:catAx>
        <c:axId val="47462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4628528"/>
        <c:crosses val="autoZero"/>
        <c:auto val="1"/>
        <c:lblAlgn val="ctr"/>
        <c:lblOffset val="100"/>
        <c:noMultiLvlLbl val="0"/>
      </c:catAx>
      <c:valAx>
        <c:axId val="4746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462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400" b="0" i="0" baseline="0">
                <a:effectLst/>
              </a:rPr>
              <a:t>度数分布</a:t>
            </a:r>
            <a:r>
              <a:rPr lang="en-US" altLang="ja-JP" sz="1400" b="0" i="0" baseline="0">
                <a:effectLst/>
              </a:rPr>
              <a:t>(100Sample )</a:t>
            </a:r>
            <a:endParaRPr lang="ja-JP" altLang="ja-JP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BS!$W$17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BS!$W$18:$W$48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tx>
            <c:strRef>
              <c:f>BS!$X$17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BS!$X$18:$X$48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10</c:v>
                </c:pt>
                <c:pt idx="15">
                  <c:v>13</c:v>
                </c:pt>
                <c:pt idx="16">
                  <c:v>15</c:v>
                </c:pt>
                <c:pt idx="17">
                  <c:v>15</c:v>
                </c:pt>
                <c:pt idx="18">
                  <c:v>8</c:v>
                </c:pt>
                <c:pt idx="19">
                  <c:v>7</c:v>
                </c:pt>
                <c:pt idx="20">
                  <c:v>5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strRef>
              <c:f>BS!$Y$17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BS!$Y$18:$Y$48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12</c:v>
                </c:pt>
                <c:pt idx="16">
                  <c:v>37</c:v>
                </c:pt>
                <c:pt idx="17">
                  <c:v>32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3"/>
          <c:order val="3"/>
          <c:tx>
            <c:strRef>
              <c:f>BS!$Z$17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BS!$Z$18:$Z$48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66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strRef>
              <c:f>BS!$AA$17</c:f>
              <c:strCache>
                <c:ptCount val="1"/>
                <c:pt idx="0">
                  <c:v>10000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BS!$V$18:$V$48</c:f>
              <c:numCache>
                <c:formatCode>General</c:formatCode>
                <c:ptCount val="3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</c:numCache>
            </c:numRef>
          </c:cat>
          <c:val>
            <c:numRef>
              <c:f>BS!$AA$18:$AA$48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75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251568"/>
        <c:axId val="480259016"/>
      </c:barChart>
      <c:catAx>
        <c:axId val="48025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0259016"/>
        <c:crosses val="autoZero"/>
        <c:auto val="1"/>
        <c:lblAlgn val="ctr"/>
        <c:lblOffset val="100"/>
        <c:noMultiLvlLbl val="0"/>
      </c:catAx>
      <c:valAx>
        <c:axId val="48025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02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219075</xdr:colOff>
      <xdr:row>6</xdr:row>
      <xdr:rowOff>167528</xdr:rowOff>
    </xdr:from>
    <xdr:to>
      <xdr:col>42</xdr:col>
      <xdr:colOff>676275</xdr:colOff>
      <xdr:row>22</xdr:row>
      <xdr:rowOff>167528</xdr:rowOff>
    </xdr:to>
    <xdr:graphicFrame macro="">
      <xdr:nvGraphicFramePr>
        <xdr:cNvPr id="12" name="グラフ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667310</xdr:colOff>
      <xdr:row>5</xdr:row>
      <xdr:rowOff>101414</xdr:rowOff>
    </xdr:from>
    <xdr:to>
      <xdr:col>56</xdr:col>
      <xdr:colOff>440951</xdr:colOff>
      <xdr:row>21</xdr:row>
      <xdr:rowOff>101414</xdr:rowOff>
    </xdr:to>
    <xdr:graphicFrame macro="">
      <xdr:nvGraphicFramePr>
        <xdr:cNvPr id="13" name="グラフ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537881</xdr:colOff>
      <xdr:row>7</xdr:row>
      <xdr:rowOff>1119</xdr:rowOff>
    </xdr:from>
    <xdr:to>
      <xdr:col>29</xdr:col>
      <xdr:colOff>324970</xdr:colOff>
      <xdr:row>23</xdr:row>
      <xdr:rowOff>54908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89647</xdr:colOff>
      <xdr:row>8</xdr:row>
      <xdr:rowOff>56030</xdr:rowOff>
    </xdr:from>
    <xdr:to>
      <xdr:col>12</xdr:col>
      <xdr:colOff>448236</xdr:colOff>
      <xdr:row>31</xdr:row>
      <xdr:rowOff>26895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19</xdr:row>
      <xdr:rowOff>142875</xdr:rowOff>
    </xdr:from>
    <xdr:to>
      <xdr:col>24</xdr:col>
      <xdr:colOff>571500</xdr:colOff>
      <xdr:row>35</xdr:row>
      <xdr:rowOff>142875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638175</xdr:colOff>
      <xdr:row>20</xdr:row>
      <xdr:rowOff>28575</xdr:rowOff>
    </xdr:from>
    <xdr:to>
      <xdr:col>10</xdr:col>
      <xdr:colOff>676275</xdr:colOff>
      <xdr:row>35</xdr:row>
      <xdr:rowOff>142875</xdr:rowOff>
    </xdr:to>
    <xdr:graphicFrame macro="">
      <xdr:nvGraphicFramePr>
        <xdr:cNvPr id="9" name="グラフ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638175</xdr:colOff>
      <xdr:row>28</xdr:row>
      <xdr:rowOff>104775</xdr:rowOff>
    </xdr:from>
    <xdr:to>
      <xdr:col>26</xdr:col>
      <xdr:colOff>409575</xdr:colOff>
      <xdr:row>44</xdr:row>
      <xdr:rowOff>104775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D103"/>
  <sheetViews>
    <sheetView view="pageBreakPreview" topLeftCell="AR1" zoomScale="85" zoomScaleNormal="100" zoomScaleSheetLayoutView="85" workbookViewId="0">
      <selection activeCell="AZ4" sqref="AZ4:AZ25"/>
    </sheetView>
  </sheetViews>
  <sheetFormatPr defaultRowHeight="13.5" x14ac:dyDescent="0.15"/>
  <cols>
    <col min="7" max="12" width="14.25" bestFit="1" customWidth="1"/>
  </cols>
  <sheetData>
    <row r="3" spans="2:56" x14ac:dyDescent="0.15">
      <c r="T3">
        <v>1</v>
      </c>
      <c r="U3">
        <v>100</v>
      </c>
      <c r="V3">
        <v>1000</v>
      </c>
      <c r="W3">
        <v>5000</v>
      </c>
      <c r="X3">
        <v>10000</v>
      </c>
      <c r="AA3">
        <v>1</v>
      </c>
      <c r="AB3">
        <v>100</v>
      </c>
      <c r="AC3">
        <v>1000</v>
      </c>
      <c r="AD3">
        <v>5000</v>
      </c>
      <c r="AE3">
        <v>10000</v>
      </c>
      <c r="AG3">
        <v>1</v>
      </c>
      <c r="AH3">
        <v>100</v>
      </c>
      <c r="AI3">
        <v>1000</v>
      </c>
      <c r="AJ3">
        <v>5000</v>
      </c>
      <c r="AK3">
        <v>10000</v>
      </c>
      <c r="AN3">
        <v>1</v>
      </c>
      <c r="AO3">
        <v>100</v>
      </c>
      <c r="AP3">
        <v>1000</v>
      </c>
      <c r="AQ3">
        <v>5000</v>
      </c>
      <c r="AR3">
        <v>10000</v>
      </c>
      <c r="AU3">
        <v>1</v>
      </c>
      <c r="AV3">
        <v>100</v>
      </c>
      <c r="AW3">
        <v>1000</v>
      </c>
      <c r="AX3">
        <v>5000</v>
      </c>
      <c r="BA3">
        <v>10</v>
      </c>
      <c r="BB3">
        <v>100</v>
      </c>
      <c r="BC3">
        <v>1000</v>
      </c>
      <c r="BD3">
        <v>5000</v>
      </c>
    </row>
    <row r="4" spans="2:56" x14ac:dyDescent="0.15">
      <c r="B4" t="s">
        <v>0</v>
      </c>
      <c r="C4" t="s">
        <v>1</v>
      </c>
      <c r="G4" t="s">
        <v>8</v>
      </c>
      <c r="H4">
        <v>10</v>
      </c>
      <c r="I4">
        <v>50</v>
      </c>
      <c r="J4">
        <v>100</v>
      </c>
      <c r="K4">
        <v>50</v>
      </c>
      <c r="L4">
        <v>100</v>
      </c>
      <c r="S4">
        <v>1</v>
      </c>
      <c r="T4">
        <f>MeanOfUniform(T$3)</f>
        <v>0.34428030252456665</v>
      </c>
      <c r="U4">
        <f t="shared" ref="U4:X23" si="0">MeanOfUniform(U$3)</f>
        <v>0.51760857462882992</v>
      </c>
      <c r="V4">
        <f t="shared" si="0"/>
        <v>0.50027604413032534</v>
      </c>
      <c r="W4">
        <f t="shared" si="0"/>
        <v>0.50191264605522157</v>
      </c>
      <c r="X4">
        <f t="shared" si="0"/>
        <v>0.49945757460594176</v>
      </c>
      <c r="Z4">
        <v>0.4</v>
      </c>
      <c r="AA4">
        <f t="array" ref="AA4:AA25">FREQUENCY(T4:T103,$Z$4:$Z$24)</f>
        <v>45</v>
      </c>
      <c r="AB4">
        <f t="array" ref="AB4:AB25">FREQUENCY(U4:U103,$Z$4:$Z$24)</f>
        <v>0</v>
      </c>
      <c r="AC4">
        <f t="array" ref="AC4:AC25">FREQUENCY(V4:V103,$Z$4:$Z$24)</f>
        <v>0</v>
      </c>
      <c r="AD4">
        <f t="array" ref="AD4:AD25">FREQUENCY(W4:W103,$Z$4:$Z$24)</f>
        <v>0</v>
      </c>
      <c r="AE4">
        <f t="array" ref="AE4:AE25">FREQUENCY(X4:X103,$Z$4:$Z$24)</f>
        <v>0</v>
      </c>
      <c r="AF4">
        <v>1</v>
      </c>
      <c r="AG4">
        <f>MeanOfExp(AG$3,10)</f>
        <v>7.2815030641604744E-2</v>
      </c>
      <c r="AH4">
        <f>MeanOfExp(AH$3,10)</f>
        <v>0.10287505008194101</v>
      </c>
      <c r="AI4">
        <f>MeanOfExp(AI$3,10)</f>
        <v>9.9119640536098647E-2</v>
      </c>
      <c r="AJ4">
        <f>MeanOfExp(AJ$3,10)</f>
        <v>9.716522944213421E-2</v>
      </c>
      <c r="AK4">
        <f>MeanOfExp(AK$3,10)</f>
        <v>0.10113972712382696</v>
      </c>
      <c r="AM4">
        <v>7.0000000000000007E-2</v>
      </c>
      <c r="AN4">
        <f t="array" ref="AN4:AN25">FREQUENCY(AG4:AG103,$AM$4:$AM$24)</f>
        <v>48</v>
      </c>
      <c r="AO4">
        <f t="array" ref="AO4:AO25">FREQUENCY(AH4:AH103,$AM$4:$AM$24)</f>
        <v>0</v>
      </c>
      <c r="AP4">
        <f t="array" ref="AP4:AP25">FREQUENCY(AI4:AI103,$AM$4:$AM$24)</f>
        <v>0</v>
      </c>
      <c r="AQ4">
        <f t="array" ref="AQ4:AQ25">FREQUENCY(AJ4:AJ103,$AM$4:$AM$24)</f>
        <v>0</v>
      </c>
      <c r="AR4">
        <f t="array" ref="AR4:AR25">FREQUENCY(AK4:AK103,$AM$4:$AM$24)</f>
        <v>0</v>
      </c>
      <c r="AT4">
        <v>1</v>
      </c>
      <c r="AU4">
        <f>MeanOfLogNormal(AG$3,0,1)</f>
        <v>0.62748894561908219</v>
      </c>
      <c r="AV4">
        <f>MeanOfLogNormal(AH$3,0,1)</f>
        <v>1.4330571639221026</v>
      </c>
      <c r="AW4">
        <f>MeanOfLogNormal(AI$3,0,1)</f>
        <v>1.6746810666628968</v>
      </c>
      <c r="AX4">
        <f>MeanOfLogNormal(AJ$3,0,1)</f>
        <v>1.6311246905605143</v>
      </c>
      <c r="AZ4">
        <v>1.2</v>
      </c>
      <c r="BA4">
        <f t="array" ref="BA4:BA25">FREQUENCY(AU4:AU103,$AZ$4:$AZ$24)</f>
        <v>63</v>
      </c>
      <c r="BB4">
        <f t="array" ref="BB4:BB25">FREQUENCY(AV4:AV103,$AZ$4:$AZ$24)</f>
        <v>1</v>
      </c>
      <c r="BC4">
        <f t="array" ref="BC4:BC25">FREQUENCY(AW4:AW103,$AZ$4:$AZ$24)</f>
        <v>0</v>
      </c>
      <c r="BD4">
        <f t="array" ref="BD4:BD25">FREQUENCY(AX4:AX103,$AZ$4:$AZ$24)</f>
        <v>0</v>
      </c>
    </row>
    <row r="5" spans="2:56" x14ac:dyDescent="0.15">
      <c r="F5">
        <v>-5</v>
      </c>
      <c r="G5" s="2">
        <f>_xlfn.NORM.DIST(F5,0,1,FALSE)</f>
        <v>1.4867195147342977E-6</v>
      </c>
      <c r="H5" s="2">
        <f>_xlfn.T.DIST($F5,H$4-1,FALSE)</f>
        <v>5.0429975813504361E-4</v>
      </c>
      <c r="I5" s="2">
        <f t="shared" ref="I5:L25" si="1">_xlfn.T.DIST($F5,I$4-1,FALSE)</f>
        <v>1.3267938164682242E-5</v>
      </c>
      <c r="J5" s="2">
        <f t="shared" si="1"/>
        <v>5.1343899893436763E-6</v>
      </c>
      <c r="K5" s="2">
        <f t="shared" si="1"/>
        <v>1.3267938164682242E-5</v>
      </c>
      <c r="L5" s="2">
        <f t="shared" si="1"/>
        <v>5.1343899893436763E-6</v>
      </c>
      <c r="S5">
        <v>2</v>
      </c>
      <c r="T5">
        <f t="shared" ref="T5:X20" si="2">MeanOfUniform(T$3)</f>
        <v>0.21015298366546631</v>
      </c>
      <c r="U5">
        <f t="shared" si="0"/>
        <v>0.49702115654945372</v>
      </c>
      <c r="V5">
        <f t="shared" si="0"/>
        <v>0.49933236575126649</v>
      </c>
      <c r="W5">
        <f t="shared" si="0"/>
        <v>0.49490629096031191</v>
      </c>
      <c r="X5">
        <f t="shared" si="0"/>
        <v>0.50402772679328922</v>
      </c>
      <c r="Z5">
        <v>0.41</v>
      </c>
      <c r="AA5">
        <v>0</v>
      </c>
      <c r="AB5">
        <v>0</v>
      </c>
      <c r="AC5">
        <v>0</v>
      </c>
      <c r="AD5">
        <v>0</v>
      </c>
      <c r="AE5">
        <v>0</v>
      </c>
      <c r="AF5">
        <v>2</v>
      </c>
      <c r="AG5">
        <f t="shared" ref="AG5:AK20" si="3">MeanOfExp(AG$3,10)</f>
        <v>0.85090141646579787</v>
      </c>
      <c r="AH5">
        <f t="shared" ref="AH5:AK23" si="4">MeanOfExp(AH$3,10)</f>
        <v>8.8947032409546323E-2</v>
      </c>
      <c r="AI5">
        <f t="shared" si="4"/>
        <v>9.8436378672082062E-2</v>
      </c>
      <c r="AJ5">
        <f t="shared" si="4"/>
        <v>0.10174355665393843</v>
      </c>
      <c r="AK5">
        <f t="shared" si="4"/>
        <v>0.10104391885366543</v>
      </c>
      <c r="AM5">
        <v>7.2999999999999995E-2</v>
      </c>
      <c r="AN5">
        <v>5</v>
      </c>
      <c r="AO5">
        <v>0</v>
      </c>
      <c r="AP5">
        <v>0</v>
      </c>
      <c r="AQ5">
        <v>0</v>
      </c>
      <c r="AR5">
        <v>0</v>
      </c>
      <c r="AT5">
        <v>2</v>
      </c>
      <c r="AU5">
        <f>MeanOfLogNormal(AG$3,0,1)</f>
        <v>0.35661120649223893</v>
      </c>
      <c r="AV5">
        <f>MeanOfLogNormal(AH$3,0,1)</f>
        <v>1.8585193865480136</v>
      </c>
      <c r="AW5">
        <f>MeanOfLogNormal(AI$3,0,1)</f>
        <v>1.6316520359508004</v>
      </c>
      <c r="AX5">
        <f>MeanOfLogNormal(AJ$3,0,1)</f>
        <v>1.5916146379316893</v>
      </c>
      <c r="AZ5">
        <v>1.25</v>
      </c>
      <c r="BA5">
        <v>0</v>
      </c>
      <c r="BB5">
        <v>0</v>
      </c>
      <c r="BC5">
        <v>0</v>
      </c>
      <c r="BD5">
        <v>0</v>
      </c>
    </row>
    <row r="6" spans="2:56" x14ac:dyDescent="0.15">
      <c r="B6">
        <f ca="1">RAND()</f>
        <v>8.8952933337519413E-2</v>
      </c>
      <c r="C6" s="1">
        <f>RandExpDist(0.1)</f>
        <v>14.601712406749611</v>
      </c>
      <c r="F6">
        <v>-4.5</v>
      </c>
      <c r="G6" s="2">
        <f>_xlfn.NORM.DIST(F6,0,1,FALSE)</f>
        <v>1.5983741106905475E-5</v>
      </c>
      <c r="H6" s="2">
        <f t="shared" ref="H6:L21" si="5">_xlfn.T.DIST($F6,H$4-1,FALSE)</f>
        <v>1.0701730080679912E-3</v>
      </c>
      <c r="I6" s="2">
        <f t="shared" si="1"/>
        <v>6.9679012743303464E-5</v>
      </c>
      <c r="J6" s="2">
        <f t="shared" si="1"/>
        <v>3.6195428758847133E-5</v>
      </c>
      <c r="K6" s="2">
        <f t="shared" si="1"/>
        <v>6.9679012743303464E-5</v>
      </c>
      <c r="L6" s="2">
        <f t="shared" si="1"/>
        <v>3.6195428758847133E-5</v>
      </c>
      <c r="S6">
        <v>3</v>
      </c>
      <c r="T6">
        <f t="shared" si="2"/>
        <v>0.31170052289962769</v>
      </c>
      <c r="U6">
        <f t="shared" si="0"/>
        <v>0.52184766173362729</v>
      </c>
      <c r="V6">
        <f t="shared" si="0"/>
        <v>0.49757257437705993</v>
      </c>
      <c r="W6">
        <f t="shared" si="0"/>
        <v>0.49652896847724914</v>
      </c>
      <c r="X6">
        <f t="shared" si="0"/>
        <v>0.50110238490104675</v>
      </c>
      <c r="Z6">
        <v>0.42</v>
      </c>
      <c r="AA6">
        <v>1</v>
      </c>
      <c r="AB6">
        <v>1</v>
      </c>
      <c r="AC6">
        <v>0</v>
      </c>
      <c r="AD6">
        <v>0</v>
      </c>
      <c r="AE6">
        <v>0</v>
      </c>
      <c r="AF6">
        <v>3</v>
      </c>
      <c r="AG6">
        <f t="shared" si="3"/>
        <v>3.7517647207282387E-2</v>
      </c>
      <c r="AH6">
        <f t="shared" si="4"/>
        <v>9.17086126047328E-2</v>
      </c>
      <c r="AI6">
        <f t="shared" si="4"/>
        <v>0.10370651685665193</v>
      </c>
      <c r="AJ6">
        <f t="shared" si="4"/>
        <v>0.10145756287675717</v>
      </c>
      <c r="AK6">
        <f t="shared" si="4"/>
        <v>0.10032000212749545</v>
      </c>
      <c r="AM6">
        <v>7.5999999999999998E-2</v>
      </c>
      <c r="AN6">
        <v>2</v>
      </c>
      <c r="AO6">
        <v>0</v>
      </c>
      <c r="AP6">
        <v>0</v>
      </c>
      <c r="AQ6">
        <v>0</v>
      </c>
      <c r="AR6">
        <v>0</v>
      </c>
      <c r="AT6">
        <v>3</v>
      </c>
      <c r="AU6">
        <f>MeanOfLogNormal(AG$3,0,1)</f>
        <v>0.51554318282158507</v>
      </c>
      <c r="AV6">
        <f>MeanOfLogNormal(AH$3,0,1)</f>
        <v>1.4872584468093144</v>
      </c>
      <c r="AW6">
        <f>MeanOfLogNormal(AI$3,0,1)</f>
        <v>1.660899832197914</v>
      </c>
      <c r="AX6">
        <f>MeanOfLogNormal(AJ$3,0,1)</f>
        <v>1.640556100809899</v>
      </c>
      <c r="AZ6">
        <v>1.3</v>
      </c>
      <c r="BA6">
        <v>0</v>
      </c>
      <c r="BB6">
        <v>2</v>
      </c>
      <c r="BC6">
        <v>0</v>
      </c>
      <c r="BD6">
        <v>0</v>
      </c>
    </row>
    <row r="7" spans="2:56" x14ac:dyDescent="0.15">
      <c r="F7">
        <v>-4</v>
      </c>
      <c r="G7" s="2">
        <f>_xlfn.NORM.DIST(F7,0,1,FALSE)</f>
        <v>1.3383022576488537E-4</v>
      </c>
      <c r="H7" s="2">
        <f t="shared" si="5"/>
        <v>2.3462987093978288E-3</v>
      </c>
      <c r="I7" s="2">
        <f t="shared" si="1"/>
        <v>3.3943960706719315E-4</v>
      </c>
      <c r="J7" s="2">
        <f t="shared" si="1"/>
        <v>2.2216778923046359E-4</v>
      </c>
      <c r="K7" s="2">
        <f t="shared" si="1"/>
        <v>3.3943960706719315E-4</v>
      </c>
      <c r="L7" s="2">
        <f t="shared" si="1"/>
        <v>2.2216778923046359E-4</v>
      </c>
      <c r="S7">
        <v>4</v>
      </c>
      <c r="T7">
        <f t="shared" si="2"/>
        <v>0.12337994575500488</v>
      </c>
      <c r="U7">
        <f t="shared" si="0"/>
        <v>0.51439912676811217</v>
      </c>
      <c r="V7">
        <f t="shared" si="0"/>
        <v>0.50550719952583312</v>
      </c>
      <c r="W7">
        <f t="shared" si="0"/>
        <v>0.49742336382865904</v>
      </c>
      <c r="X7">
        <f t="shared" si="0"/>
        <v>0.50261794533729554</v>
      </c>
      <c r="Z7">
        <v>0.43</v>
      </c>
      <c r="AA7">
        <v>2</v>
      </c>
      <c r="AB7">
        <v>0</v>
      </c>
      <c r="AC7">
        <v>0</v>
      </c>
      <c r="AD7">
        <v>0</v>
      </c>
      <c r="AE7">
        <v>0</v>
      </c>
      <c r="AF7">
        <v>4</v>
      </c>
      <c r="AG7">
        <f t="shared" si="3"/>
        <v>0.19397641067125815</v>
      </c>
      <c r="AH7">
        <f t="shared" si="4"/>
        <v>8.7094286863557968E-2</v>
      </c>
      <c r="AI7">
        <f t="shared" si="4"/>
        <v>0.10525073787285209</v>
      </c>
      <c r="AJ7">
        <f t="shared" si="4"/>
        <v>0.10143874161515888</v>
      </c>
      <c r="AK7">
        <f t="shared" si="4"/>
        <v>9.9228341465572092E-2</v>
      </c>
      <c r="AM7">
        <v>7.9000000000000001E-2</v>
      </c>
      <c r="AN7">
        <v>0</v>
      </c>
      <c r="AO7">
        <v>0</v>
      </c>
      <c r="AP7">
        <v>0</v>
      </c>
      <c r="AQ7">
        <v>0</v>
      </c>
      <c r="AR7">
        <v>0</v>
      </c>
      <c r="AT7">
        <v>4</v>
      </c>
      <c r="AU7">
        <f>MeanOfLogNormal(AG$3,0,1)</f>
        <v>0.12951240828598812</v>
      </c>
      <c r="AV7">
        <f>MeanOfLogNormal(AH$3,0,1)</f>
        <v>1.4250540812039663</v>
      </c>
      <c r="AW7">
        <f>MeanOfLogNormal(AI$3,0,1)</f>
        <v>1.642764575606249</v>
      </c>
      <c r="AX7">
        <f>MeanOfLogNormal(AJ$3,0,1)</f>
        <v>1.6825268529916488</v>
      </c>
      <c r="AZ7">
        <v>1.35</v>
      </c>
      <c r="BA7">
        <v>1</v>
      </c>
      <c r="BB7">
        <v>5</v>
      </c>
      <c r="BC7">
        <v>0</v>
      </c>
      <c r="BD7">
        <v>0</v>
      </c>
    </row>
    <row r="8" spans="2:56" x14ac:dyDescent="0.15">
      <c r="F8">
        <v>-3.5</v>
      </c>
      <c r="G8" s="2">
        <f>_xlfn.NORM.DIST(F8,0,1,FALSE)</f>
        <v>8.7268269504576015E-4</v>
      </c>
      <c r="H8" s="2">
        <f t="shared" si="5"/>
        <v>5.2879662318621153E-3</v>
      </c>
      <c r="I8" s="2">
        <f t="shared" si="1"/>
        <v>1.4994918380682818E-3</v>
      </c>
      <c r="J8" s="2">
        <f t="shared" si="1"/>
        <v>1.1656606299136998E-3</v>
      </c>
      <c r="K8" s="2">
        <f t="shared" si="1"/>
        <v>1.4994918380682818E-3</v>
      </c>
      <c r="L8" s="2">
        <f t="shared" si="1"/>
        <v>1.1656606299136998E-3</v>
      </c>
      <c r="S8">
        <v>5</v>
      </c>
      <c r="T8">
        <f t="shared" si="2"/>
        <v>0.80377304553985596</v>
      </c>
      <c r="U8">
        <f t="shared" si="0"/>
        <v>0.48229589104652404</v>
      </c>
      <c r="V8">
        <f t="shared" si="0"/>
        <v>0.49784542727470399</v>
      </c>
      <c r="W8">
        <f t="shared" si="0"/>
        <v>0.50223463196754459</v>
      </c>
      <c r="X8">
        <f t="shared" si="0"/>
        <v>0.49743392071723935</v>
      </c>
      <c r="Z8">
        <v>0.44</v>
      </c>
      <c r="AA8">
        <v>0</v>
      </c>
      <c r="AB8">
        <v>1</v>
      </c>
      <c r="AC8">
        <v>0</v>
      </c>
      <c r="AD8">
        <v>0</v>
      </c>
      <c r="AE8">
        <v>0</v>
      </c>
      <c r="AF8">
        <v>5</v>
      </c>
      <c r="AG8">
        <f t="shared" si="3"/>
        <v>1.9773289664226298E-2</v>
      </c>
      <c r="AH8">
        <f t="shared" si="4"/>
        <v>0.10154275184486637</v>
      </c>
      <c r="AI8">
        <f t="shared" si="4"/>
        <v>0.10153024721794388</v>
      </c>
      <c r="AJ8">
        <f t="shared" si="4"/>
        <v>0.10069958081061979</v>
      </c>
      <c r="AK8">
        <f t="shared" si="4"/>
        <v>9.9371103886220391E-2</v>
      </c>
      <c r="AM8">
        <v>8.2000000000000003E-2</v>
      </c>
      <c r="AN8">
        <v>2</v>
      </c>
      <c r="AO8">
        <v>1</v>
      </c>
      <c r="AP8">
        <v>0</v>
      </c>
      <c r="AQ8">
        <v>0</v>
      </c>
      <c r="AR8">
        <v>0</v>
      </c>
      <c r="AT8">
        <v>5</v>
      </c>
      <c r="AU8">
        <f>MeanOfLogNormal(AG$3,0,1)</f>
        <v>1.7368387349395789</v>
      </c>
      <c r="AV8">
        <f>MeanOfLogNormal(AH$3,0,1)</f>
        <v>1.4411648274075888</v>
      </c>
      <c r="AW8">
        <f>MeanOfLogNormal(AI$3,0,1)</f>
        <v>1.562610343516655</v>
      </c>
      <c r="AX8">
        <f>MeanOfLogNormal(AJ$3,0,1)</f>
        <v>1.5855148962679602</v>
      </c>
      <c r="AZ8">
        <v>1.4</v>
      </c>
      <c r="BA8">
        <v>0</v>
      </c>
      <c r="BB8">
        <v>7</v>
      </c>
      <c r="BC8">
        <v>0</v>
      </c>
      <c r="BD8">
        <v>0</v>
      </c>
    </row>
    <row r="9" spans="2:56" x14ac:dyDescent="0.15">
      <c r="F9">
        <v>-3</v>
      </c>
      <c r="G9" s="2">
        <f>_xlfn.NORM.DIST(F9,0,1,FALSE)</f>
        <v>4.4318484119380075E-3</v>
      </c>
      <c r="H9" s="2">
        <f t="shared" si="5"/>
        <v>1.2126090902239641E-2</v>
      </c>
      <c r="I9" s="2">
        <f t="shared" si="1"/>
        <v>5.8599861965602865E-3</v>
      </c>
      <c r="J9" s="2">
        <f t="shared" si="1"/>
        <v>5.1331663279579201E-3</v>
      </c>
      <c r="K9" s="2">
        <f t="shared" si="1"/>
        <v>5.8599861965602865E-3</v>
      </c>
      <c r="L9" s="2">
        <f t="shared" si="1"/>
        <v>5.1331663279579201E-3</v>
      </c>
      <c r="S9">
        <v>6</v>
      </c>
      <c r="T9">
        <f t="shared" si="2"/>
        <v>0.16446655988693237</v>
      </c>
      <c r="U9">
        <f t="shared" si="0"/>
        <v>0.47347302794456481</v>
      </c>
      <c r="V9">
        <f t="shared" si="0"/>
        <v>0.49410466599464414</v>
      </c>
      <c r="W9">
        <f t="shared" si="0"/>
        <v>0.50513128666877749</v>
      </c>
      <c r="X9">
        <f t="shared" si="0"/>
        <v>0.50599746851921079</v>
      </c>
      <c r="Z9">
        <v>0.45</v>
      </c>
      <c r="AA9">
        <v>0</v>
      </c>
      <c r="AB9">
        <v>1</v>
      </c>
      <c r="AC9">
        <v>0</v>
      </c>
      <c r="AD9">
        <v>0</v>
      </c>
      <c r="AE9">
        <v>0</v>
      </c>
      <c r="AF9">
        <v>6</v>
      </c>
      <c r="AG9">
        <f t="shared" si="3"/>
        <v>1.3120157006056075E-3</v>
      </c>
      <c r="AH9">
        <f t="shared" si="4"/>
        <v>9.1110985659087027E-2</v>
      </c>
      <c r="AI9">
        <f t="shared" si="4"/>
        <v>9.9507458131982654E-2</v>
      </c>
      <c r="AJ9">
        <f t="shared" si="4"/>
        <v>9.6868261461885319E-2</v>
      </c>
      <c r="AK9">
        <f t="shared" si="4"/>
        <v>9.9798038144222917E-2</v>
      </c>
      <c r="AM9">
        <v>8.4999999999999895E-2</v>
      </c>
      <c r="AN9">
        <v>1</v>
      </c>
      <c r="AO9">
        <v>2</v>
      </c>
      <c r="AP9">
        <v>0</v>
      </c>
      <c r="AQ9">
        <v>0</v>
      </c>
      <c r="AR9">
        <v>0</v>
      </c>
      <c r="AT9">
        <v>6</v>
      </c>
      <c r="AU9">
        <f>MeanOfLogNormal(AG$3,0,1)</f>
        <v>0.44214343889309898</v>
      </c>
      <c r="AV9">
        <f>MeanOfLogNormal(AH$3,0,1)</f>
        <v>1.4002956381876777</v>
      </c>
      <c r="AW9">
        <f>MeanOfLogNormal(AI$3,0,1)</f>
        <v>1.6692967305562001</v>
      </c>
      <c r="AX9">
        <f>MeanOfLogNormal(AJ$3,0,1)</f>
        <v>1.6100107644191219</v>
      </c>
      <c r="AZ9">
        <v>1.45</v>
      </c>
      <c r="BA9">
        <v>1</v>
      </c>
      <c r="BB9">
        <v>10</v>
      </c>
      <c r="BC9">
        <v>0</v>
      </c>
      <c r="BD9">
        <v>0</v>
      </c>
    </row>
    <row r="10" spans="2:56" x14ac:dyDescent="0.15">
      <c r="F10">
        <v>-2.5</v>
      </c>
      <c r="G10" s="2">
        <f>_xlfn.NORM.DIST(F10,0,1,FALSE)</f>
        <v>1.752830049356854E-2</v>
      </c>
      <c r="H10" s="2">
        <f t="shared" si="5"/>
        <v>2.7780120592759115E-2</v>
      </c>
      <c r="I10" s="2">
        <f t="shared" si="1"/>
        <v>1.9737374118229057E-2</v>
      </c>
      <c r="J10" s="2">
        <f t="shared" si="1"/>
        <v>1.8640943311069597E-2</v>
      </c>
      <c r="K10" s="2">
        <f t="shared" si="1"/>
        <v>1.9737374118229057E-2</v>
      </c>
      <c r="L10" s="2">
        <f t="shared" si="1"/>
        <v>1.8640943311069597E-2</v>
      </c>
      <c r="S10">
        <v>7</v>
      </c>
      <c r="T10">
        <f t="shared" si="2"/>
        <v>0.22031903266906738</v>
      </c>
      <c r="U10">
        <f t="shared" si="0"/>
        <v>0.52848430752754216</v>
      </c>
      <c r="V10">
        <f t="shared" si="0"/>
        <v>0.51483921742439265</v>
      </c>
      <c r="W10">
        <f t="shared" si="0"/>
        <v>0.5013378322124481</v>
      </c>
      <c r="X10">
        <f t="shared" si="0"/>
        <v>0.49935317482948305</v>
      </c>
      <c r="Z10">
        <v>0.46</v>
      </c>
      <c r="AA10">
        <v>0</v>
      </c>
      <c r="AB10">
        <v>3</v>
      </c>
      <c r="AC10">
        <v>0</v>
      </c>
      <c r="AD10">
        <v>0</v>
      </c>
      <c r="AE10">
        <v>0</v>
      </c>
      <c r="AF10">
        <v>7</v>
      </c>
      <c r="AG10">
        <f t="shared" si="3"/>
        <v>5.8636573457524842E-2</v>
      </c>
      <c r="AH10">
        <f t="shared" si="4"/>
        <v>0.10188995430678176</v>
      </c>
      <c r="AI10">
        <f t="shared" si="4"/>
        <v>0.10228835906004236</v>
      </c>
      <c r="AJ10">
        <f t="shared" si="4"/>
        <v>9.8932162142909313E-2</v>
      </c>
      <c r="AK10">
        <f t="shared" si="4"/>
        <v>0.10215023577706958</v>
      </c>
      <c r="AM10">
        <v>8.7999999999999898E-2</v>
      </c>
      <c r="AN10">
        <v>2</v>
      </c>
      <c r="AO10">
        <v>7</v>
      </c>
      <c r="AP10">
        <v>0</v>
      </c>
      <c r="AQ10">
        <v>0</v>
      </c>
      <c r="AR10">
        <v>0</v>
      </c>
      <c r="AT10">
        <v>7</v>
      </c>
      <c r="AU10">
        <f>MeanOfLogNormal(AG$3,0,1)</f>
        <v>5.0848390827886965</v>
      </c>
      <c r="AV10">
        <f>MeanOfLogNormal(AH$3,0,1)</f>
        <v>1.7816863724627192</v>
      </c>
      <c r="AW10">
        <f>MeanOfLogNormal(AI$3,0,1)</f>
        <v>1.5345654077487541</v>
      </c>
      <c r="AX10">
        <f>MeanOfLogNormal(AJ$3,0,1)</f>
        <v>1.6299630422828144</v>
      </c>
      <c r="AZ10">
        <v>1.5</v>
      </c>
      <c r="BA10">
        <v>1</v>
      </c>
      <c r="BB10">
        <v>10</v>
      </c>
      <c r="BC10">
        <v>1</v>
      </c>
      <c r="BD10">
        <v>0</v>
      </c>
    </row>
    <row r="11" spans="2:56" x14ac:dyDescent="0.15">
      <c r="F11">
        <v>-2</v>
      </c>
      <c r="G11" s="2">
        <f>_xlfn.NORM.DIST(F11,0,1,FALSE)</f>
        <v>5.3990966513188063E-2</v>
      </c>
      <c r="H11" s="2">
        <f t="shared" si="5"/>
        <v>6.1711568313873859E-2</v>
      </c>
      <c r="I11" s="2">
        <f t="shared" si="1"/>
        <v>5.5808415470971047E-2</v>
      </c>
      <c r="J11" s="2">
        <f t="shared" si="1"/>
        <v>5.4917641266144644E-2</v>
      </c>
      <c r="K11" s="2">
        <f t="shared" si="1"/>
        <v>5.5808415470971047E-2</v>
      </c>
      <c r="L11" s="2">
        <f t="shared" si="1"/>
        <v>5.4917641266144644E-2</v>
      </c>
      <c r="S11">
        <v>8</v>
      </c>
      <c r="T11">
        <f t="shared" si="2"/>
        <v>7.3123037815093994E-2</v>
      </c>
      <c r="U11">
        <f t="shared" si="0"/>
        <v>0.46572680115699766</v>
      </c>
      <c r="V11">
        <f t="shared" si="0"/>
        <v>0.49085764956474304</v>
      </c>
      <c r="W11">
        <f t="shared" si="0"/>
        <v>0.50437415833473209</v>
      </c>
      <c r="X11">
        <f t="shared" si="0"/>
        <v>0.50143582930564878</v>
      </c>
      <c r="Z11">
        <v>0.47</v>
      </c>
      <c r="AA11">
        <v>1</v>
      </c>
      <c r="AB11">
        <v>11</v>
      </c>
      <c r="AC11">
        <v>0</v>
      </c>
      <c r="AD11">
        <v>0</v>
      </c>
      <c r="AE11">
        <v>0</v>
      </c>
      <c r="AF11">
        <v>8</v>
      </c>
      <c r="AG11">
        <f t="shared" si="3"/>
        <v>7.4763808191215669E-2</v>
      </c>
      <c r="AH11">
        <f t="shared" si="4"/>
        <v>0.10571536322446246</v>
      </c>
      <c r="AI11">
        <f t="shared" si="4"/>
        <v>0.10116428520797387</v>
      </c>
      <c r="AJ11">
        <f t="shared" si="4"/>
        <v>9.8008911332190751E-2</v>
      </c>
      <c r="AK11">
        <f t="shared" si="4"/>
        <v>9.9880551259443173E-2</v>
      </c>
      <c r="AM11">
        <v>9.09999999999999E-2</v>
      </c>
      <c r="AN11">
        <v>0</v>
      </c>
      <c r="AO11">
        <v>10</v>
      </c>
      <c r="AP11">
        <v>0</v>
      </c>
      <c r="AQ11">
        <v>0</v>
      </c>
      <c r="AR11">
        <v>0</v>
      </c>
      <c r="AT11">
        <v>8</v>
      </c>
      <c r="AU11">
        <f>MeanOfLogNormal(AG$3,0,1)</f>
        <v>1.870241843173833</v>
      </c>
      <c r="AV11">
        <f>MeanOfLogNormal(AH$3,0,1)</f>
        <v>1.8717898701673292</v>
      </c>
      <c r="AW11">
        <f>MeanOfLogNormal(AI$3,0,1)</f>
        <v>1.6222392973862374</v>
      </c>
      <c r="AX11">
        <f>MeanOfLogNormal(AJ$3,0,1)</f>
        <v>1.6462366679834772</v>
      </c>
      <c r="AZ11">
        <v>1.55</v>
      </c>
      <c r="BA11">
        <v>0</v>
      </c>
      <c r="BB11">
        <v>7</v>
      </c>
      <c r="BC11">
        <v>6</v>
      </c>
      <c r="BD11">
        <v>0</v>
      </c>
    </row>
    <row r="12" spans="2:56" x14ac:dyDescent="0.15">
      <c r="F12">
        <v>-1.5</v>
      </c>
      <c r="G12" s="2">
        <f>_xlfn.NORM.DIST(F12,0,1,FALSE)</f>
        <v>0.12951759566589174</v>
      </c>
      <c r="H12" s="2">
        <f t="shared" si="5"/>
        <v>0.12715127893906839</v>
      </c>
      <c r="I12" s="2">
        <f t="shared" si="1"/>
        <v>0.12919618476733519</v>
      </c>
      <c r="J12" s="2">
        <f t="shared" si="1"/>
        <v>0.12936640714178749</v>
      </c>
      <c r="K12" s="2">
        <f t="shared" si="1"/>
        <v>0.12919618476733519</v>
      </c>
      <c r="L12" s="2">
        <f t="shared" si="1"/>
        <v>0.12936640714178749</v>
      </c>
      <c r="S12">
        <v>9</v>
      </c>
      <c r="T12">
        <f t="shared" si="2"/>
        <v>0.47874301671981812</v>
      </c>
      <c r="U12">
        <f t="shared" si="0"/>
        <v>0.50899220824241642</v>
      </c>
      <c r="V12">
        <f t="shared" si="0"/>
        <v>0.50500591111183168</v>
      </c>
      <c r="W12">
        <f t="shared" si="0"/>
        <v>0.49805439429283144</v>
      </c>
      <c r="X12">
        <f t="shared" si="0"/>
        <v>0.4966514117717743</v>
      </c>
      <c r="Z12">
        <v>0.48</v>
      </c>
      <c r="AA12">
        <v>1</v>
      </c>
      <c r="AB12">
        <v>9</v>
      </c>
      <c r="AC12">
        <v>1</v>
      </c>
      <c r="AD12">
        <v>0</v>
      </c>
      <c r="AE12">
        <v>0</v>
      </c>
      <c r="AF12">
        <v>9</v>
      </c>
      <c r="AG12">
        <f t="shared" si="3"/>
        <v>0.15111923224102697</v>
      </c>
      <c r="AH12">
        <f t="shared" si="4"/>
        <v>9.5872611295519994E-2</v>
      </c>
      <c r="AI12">
        <f t="shared" si="4"/>
        <v>0.10245168289564076</v>
      </c>
      <c r="AJ12">
        <f t="shared" si="4"/>
        <v>0.100088815848048</v>
      </c>
      <c r="AK12">
        <f t="shared" si="4"/>
        <v>0.10067813159729655</v>
      </c>
      <c r="AM12">
        <v>9.3999999999999903E-2</v>
      </c>
      <c r="AN12">
        <v>1</v>
      </c>
      <c r="AO12">
        <v>10</v>
      </c>
      <c r="AP12">
        <v>2</v>
      </c>
      <c r="AQ12">
        <v>0</v>
      </c>
      <c r="AR12">
        <v>0</v>
      </c>
      <c r="AT12">
        <v>9</v>
      </c>
      <c r="AU12">
        <f>MeanOfLogNormal(AG$3,0,1)</f>
        <v>0.81714425011120329</v>
      </c>
      <c r="AV12">
        <f>MeanOfLogNormal(AH$3,0,1)</f>
        <v>1.7255211676226796</v>
      </c>
      <c r="AW12">
        <f>MeanOfLogNormal(AI$3,0,1)</f>
        <v>1.5970184327593393</v>
      </c>
      <c r="AX12">
        <f>MeanOfLogNormal(AJ$3,0,1)</f>
        <v>1.6141968517799736</v>
      </c>
      <c r="AZ12">
        <v>1.6</v>
      </c>
      <c r="BA12">
        <v>1</v>
      </c>
      <c r="BB12">
        <v>11</v>
      </c>
      <c r="BC12">
        <v>17</v>
      </c>
      <c r="BD12">
        <v>5</v>
      </c>
    </row>
    <row r="13" spans="2:56" x14ac:dyDescent="0.15">
      <c r="F13">
        <v>-1</v>
      </c>
      <c r="G13" s="2">
        <f>_xlfn.NORM.DIST(F13,0,1,FALSE)</f>
        <v>0.24197072451914337</v>
      </c>
      <c r="H13" s="2">
        <f t="shared" si="5"/>
        <v>0.2291307333396316</v>
      </c>
      <c r="I13" s="2">
        <f t="shared" si="1"/>
        <v>0.2395225042751398</v>
      </c>
      <c r="J13" s="2">
        <f t="shared" si="1"/>
        <v>0.24075377807984838</v>
      </c>
      <c r="K13" s="2">
        <f t="shared" si="1"/>
        <v>0.2395225042751398</v>
      </c>
      <c r="L13" s="2">
        <f t="shared" si="1"/>
        <v>0.24075377807984838</v>
      </c>
      <c r="S13">
        <v>10</v>
      </c>
      <c r="T13">
        <f t="shared" si="2"/>
        <v>0.83461308479309082</v>
      </c>
      <c r="U13">
        <f t="shared" si="0"/>
        <v>0.49813457608222961</v>
      </c>
      <c r="V13">
        <f t="shared" si="0"/>
        <v>0.49063361716270448</v>
      </c>
      <c r="W13">
        <f t="shared" si="0"/>
        <v>0.49264934992790221</v>
      </c>
      <c r="X13">
        <f t="shared" si="0"/>
        <v>0.49592644448280332</v>
      </c>
      <c r="Z13">
        <v>0.49</v>
      </c>
      <c r="AA13">
        <v>1</v>
      </c>
      <c r="AB13">
        <v>20</v>
      </c>
      <c r="AC13">
        <v>12</v>
      </c>
      <c r="AD13">
        <v>2</v>
      </c>
      <c r="AE13">
        <v>0</v>
      </c>
      <c r="AF13">
        <v>10</v>
      </c>
      <c r="AG13">
        <f t="shared" si="3"/>
        <v>5.7156504450859034E-2</v>
      </c>
      <c r="AH13">
        <f t="shared" si="4"/>
        <v>9.7551701264216181E-2</v>
      </c>
      <c r="AI13">
        <f t="shared" si="4"/>
        <v>9.6803688685791603E-2</v>
      </c>
      <c r="AJ13">
        <f t="shared" si="4"/>
        <v>9.9426324355452636E-2</v>
      </c>
      <c r="AK13">
        <f t="shared" si="4"/>
        <v>9.8940913476916401E-2</v>
      </c>
      <c r="AM13">
        <v>9.6999999999999906E-2</v>
      </c>
      <c r="AN13">
        <v>0</v>
      </c>
      <c r="AO13">
        <v>10</v>
      </c>
      <c r="AP13">
        <v>18</v>
      </c>
      <c r="AQ13">
        <v>2</v>
      </c>
      <c r="AR13">
        <v>0</v>
      </c>
      <c r="AT13">
        <v>10</v>
      </c>
      <c r="AU13">
        <f>MeanOfLogNormal(AG$3,0,1)</f>
        <v>0.30825062190058272</v>
      </c>
      <c r="AV13">
        <f>MeanOfLogNormal(AH$3,0,1)</f>
        <v>1.4667739909736626</v>
      </c>
      <c r="AW13">
        <f>MeanOfLogNormal(AI$3,0,1)</f>
        <v>1.6187457564204848</v>
      </c>
      <c r="AX13">
        <f>MeanOfLogNormal(AJ$3,0,1)</f>
        <v>1.7064239821302789</v>
      </c>
      <c r="AZ13">
        <v>1.65</v>
      </c>
      <c r="BA13">
        <v>1</v>
      </c>
      <c r="BB13">
        <v>8</v>
      </c>
      <c r="BC13">
        <v>22</v>
      </c>
      <c r="BD13">
        <v>55</v>
      </c>
    </row>
    <row r="14" spans="2:56" x14ac:dyDescent="0.15">
      <c r="F14">
        <v>-0.5</v>
      </c>
      <c r="G14" s="2">
        <f>_xlfn.NORM.DIST(F14,0,1,FALSE)</f>
        <v>0.35206532676429952</v>
      </c>
      <c r="H14" s="2">
        <f t="shared" si="5"/>
        <v>0.33835662268275635</v>
      </c>
      <c r="I14" s="2">
        <f t="shared" si="1"/>
        <v>0.34949467351538244</v>
      </c>
      <c r="J14" s="2">
        <f t="shared" si="1"/>
        <v>0.35079010900212154</v>
      </c>
      <c r="K14" s="2">
        <f t="shared" si="1"/>
        <v>0.34949467351538244</v>
      </c>
      <c r="L14" s="2">
        <f t="shared" si="1"/>
        <v>0.35079010900212154</v>
      </c>
      <c r="S14">
        <v>11</v>
      </c>
      <c r="T14">
        <f t="shared" si="2"/>
        <v>7.4420034885406494E-2</v>
      </c>
      <c r="U14">
        <f t="shared" si="0"/>
        <v>0.46069997668266294</v>
      </c>
      <c r="V14">
        <f t="shared" si="0"/>
        <v>0.49536844706535338</v>
      </c>
      <c r="W14">
        <f t="shared" si="0"/>
        <v>0.50818497681617736</v>
      </c>
      <c r="X14">
        <f t="shared" si="0"/>
        <v>0.50396666426658632</v>
      </c>
      <c r="Z14">
        <v>0.5</v>
      </c>
      <c r="AA14">
        <v>1</v>
      </c>
      <c r="AB14">
        <v>8</v>
      </c>
      <c r="AC14">
        <v>43</v>
      </c>
      <c r="AD14">
        <v>44</v>
      </c>
      <c r="AE14">
        <v>51</v>
      </c>
      <c r="AF14">
        <v>11</v>
      </c>
      <c r="AG14">
        <f t="shared" si="3"/>
        <v>7.0878703647009267E-2</v>
      </c>
      <c r="AH14">
        <f t="shared" si="4"/>
        <v>9.78011784542894E-2</v>
      </c>
      <c r="AI14">
        <f t="shared" si="4"/>
        <v>0.10821895018171951</v>
      </c>
      <c r="AJ14">
        <f t="shared" si="4"/>
        <v>0.10172129830875157</v>
      </c>
      <c r="AK14">
        <f t="shared" si="4"/>
        <v>0.10255159363647226</v>
      </c>
      <c r="AM14">
        <v>9.9999999999999895E-2</v>
      </c>
      <c r="AN14">
        <v>1</v>
      </c>
      <c r="AO14">
        <v>8</v>
      </c>
      <c r="AP14">
        <v>26</v>
      </c>
      <c r="AQ14">
        <v>48</v>
      </c>
      <c r="AR14">
        <v>43</v>
      </c>
      <c r="AT14">
        <v>11</v>
      </c>
      <c r="AU14">
        <f>MeanOfLogNormal(AG$3,0,1)</f>
        <v>1.0456056004716319</v>
      </c>
      <c r="AV14">
        <f>MeanOfLogNormal(AH$3,0,1)</f>
        <v>2.0191891831890083</v>
      </c>
      <c r="AW14">
        <f>MeanOfLogNormal(AI$3,0,1)</f>
        <v>1.6376801522230444</v>
      </c>
      <c r="AX14">
        <f>MeanOfLogNormal(AJ$3,0,1)</f>
        <v>1.6132661647337803</v>
      </c>
      <c r="AZ14">
        <v>1.7</v>
      </c>
      <c r="BA14">
        <v>1</v>
      </c>
      <c r="BB14">
        <v>6</v>
      </c>
      <c r="BC14">
        <v>32</v>
      </c>
      <c r="BD14">
        <v>34</v>
      </c>
    </row>
    <row r="15" spans="2:56" x14ac:dyDescent="0.15">
      <c r="F15">
        <v>0</v>
      </c>
      <c r="G15" s="2">
        <f>_xlfn.NORM.DIST(F15,0,1,FALSE)</f>
        <v>0.3989422804014327</v>
      </c>
      <c r="H15" s="2">
        <f t="shared" si="5"/>
        <v>0.38803490887166864</v>
      </c>
      <c r="I15" s="2">
        <f t="shared" si="1"/>
        <v>0.39691218468210782</v>
      </c>
      <c r="J15" s="2">
        <f t="shared" si="1"/>
        <v>0.3979361384240756</v>
      </c>
      <c r="K15" s="2">
        <f t="shared" si="1"/>
        <v>0.39691218468210782</v>
      </c>
      <c r="L15" s="2">
        <f t="shared" si="1"/>
        <v>0.3979361384240756</v>
      </c>
      <c r="S15">
        <v>12</v>
      </c>
      <c r="T15">
        <f t="shared" si="2"/>
        <v>0.35564053058624268</v>
      </c>
      <c r="U15">
        <f t="shared" si="0"/>
        <v>0.54263906836509701</v>
      </c>
      <c r="V15">
        <f t="shared" si="0"/>
        <v>0.50016174912452693</v>
      </c>
      <c r="W15">
        <f t="shared" si="0"/>
        <v>0.49898171362876892</v>
      </c>
      <c r="X15">
        <f t="shared" si="0"/>
        <v>0.50038974499702449</v>
      </c>
      <c r="Z15">
        <v>0.50999999999999901</v>
      </c>
      <c r="AA15">
        <v>1</v>
      </c>
      <c r="AB15">
        <v>14</v>
      </c>
      <c r="AC15">
        <v>36</v>
      </c>
      <c r="AD15">
        <v>53</v>
      </c>
      <c r="AE15">
        <v>49</v>
      </c>
      <c r="AF15">
        <v>12</v>
      </c>
      <c r="AG15">
        <f t="shared" si="3"/>
        <v>0.11140331802507997</v>
      </c>
      <c r="AH15">
        <f t="shared" si="4"/>
        <v>0.10179994934192928</v>
      </c>
      <c r="AI15">
        <f t="shared" si="4"/>
        <v>0.10080181488937254</v>
      </c>
      <c r="AJ15">
        <f t="shared" si="4"/>
        <v>0.10044729321258748</v>
      </c>
      <c r="AK15">
        <f t="shared" si="4"/>
        <v>0.10059467227128922</v>
      </c>
      <c r="AM15">
        <v>0.10299999999999999</v>
      </c>
      <c r="AN15">
        <v>3</v>
      </c>
      <c r="AO15">
        <v>21</v>
      </c>
      <c r="AP15">
        <v>35</v>
      </c>
      <c r="AQ15">
        <v>48</v>
      </c>
      <c r="AR15">
        <v>57</v>
      </c>
      <c r="AT15">
        <v>12</v>
      </c>
      <c r="AU15">
        <f>MeanOfLogNormal(AG$3,0,1)</f>
        <v>1.0674027158955401</v>
      </c>
      <c r="AV15">
        <f>MeanOfLogNormal(AH$3,0,1)</f>
        <v>1.3373476882612767</v>
      </c>
      <c r="AW15">
        <f>MeanOfLogNormal(AI$3,0,1)</f>
        <v>1.7160237257352642</v>
      </c>
      <c r="AX15">
        <f>MeanOfLogNormal(AJ$3,0,1)</f>
        <v>1.6583907620281577</v>
      </c>
      <c r="AZ15">
        <v>1.75</v>
      </c>
      <c r="BA15">
        <v>2</v>
      </c>
      <c r="BB15">
        <v>7</v>
      </c>
      <c r="BC15">
        <v>14</v>
      </c>
      <c r="BD15">
        <v>6</v>
      </c>
    </row>
    <row r="16" spans="2:56" x14ac:dyDescent="0.15">
      <c r="F16">
        <v>0.5</v>
      </c>
      <c r="G16" s="2">
        <f>_xlfn.NORM.DIST(F16,0,1,FALSE)</f>
        <v>0.35206532676429952</v>
      </c>
      <c r="H16" s="2">
        <f t="shared" si="5"/>
        <v>0.33835662268275635</v>
      </c>
      <c r="I16" s="2">
        <f t="shared" si="1"/>
        <v>0.34949467351538244</v>
      </c>
      <c r="J16" s="2">
        <f t="shared" si="1"/>
        <v>0.35079010900212154</v>
      </c>
      <c r="K16" s="2">
        <f t="shared" si="1"/>
        <v>0.34949467351538244</v>
      </c>
      <c r="L16" s="2">
        <f t="shared" si="1"/>
        <v>0.35079010900212154</v>
      </c>
      <c r="S16">
        <v>13</v>
      </c>
      <c r="T16">
        <f t="shared" si="2"/>
        <v>0.97964954376220703</v>
      </c>
      <c r="U16">
        <f t="shared" si="0"/>
        <v>0.55677051663398747</v>
      </c>
      <c r="V16">
        <f t="shared" si="0"/>
        <v>0.50831953024864196</v>
      </c>
      <c r="W16">
        <f t="shared" si="0"/>
        <v>0.49040666661262511</v>
      </c>
      <c r="X16">
        <f t="shared" si="0"/>
        <v>0.50148134140968326</v>
      </c>
      <c r="Z16">
        <v>0.51999999999999902</v>
      </c>
      <c r="AA16">
        <v>0</v>
      </c>
      <c r="AB16">
        <v>11</v>
      </c>
      <c r="AC16">
        <v>6</v>
      </c>
      <c r="AD16">
        <v>1</v>
      </c>
      <c r="AE16">
        <v>0</v>
      </c>
      <c r="AF16">
        <v>13</v>
      </c>
      <c r="AG16">
        <f t="shared" si="3"/>
        <v>5.2968784661810708E-3</v>
      </c>
      <c r="AH16">
        <f t="shared" si="4"/>
        <v>0.10150655239655869</v>
      </c>
      <c r="AI16">
        <f t="shared" si="4"/>
        <v>0.10114399434531167</v>
      </c>
      <c r="AJ16">
        <f t="shared" si="4"/>
        <v>0.10178180671595392</v>
      </c>
      <c r="AK16">
        <f t="shared" si="4"/>
        <v>0.10001245380480754</v>
      </c>
      <c r="AM16">
        <v>0.106</v>
      </c>
      <c r="AN16">
        <v>1</v>
      </c>
      <c r="AO16">
        <v>15</v>
      </c>
      <c r="AP16">
        <v>18</v>
      </c>
      <c r="AQ16">
        <v>2</v>
      </c>
      <c r="AR16">
        <v>0</v>
      </c>
      <c r="AT16">
        <v>13</v>
      </c>
      <c r="AU16">
        <f>MeanOfLogNormal(AG$3,0,1)</f>
        <v>0.25633563453784841</v>
      </c>
      <c r="AV16">
        <f>MeanOfLogNormal(AH$3,0,1)</f>
        <v>1.4269780022093104</v>
      </c>
      <c r="AW16">
        <f>MeanOfLogNormal(AI$3,0,1)</f>
        <v>1.5355534514512692</v>
      </c>
      <c r="AX16">
        <f>MeanOfLogNormal(AJ$3,0,1)</f>
        <v>1.6607244949231652</v>
      </c>
      <c r="AZ16">
        <v>1.8</v>
      </c>
      <c r="BA16">
        <v>2</v>
      </c>
      <c r="BB16">
        <v>8</v>
      </c>
      <c r="BC16">
        <v>7</v>
      </c>
      <c r="BD16">
        <v>0</v>
      </c>
    </row>
    <row r="17" spans="6:56" x14ac:dyDescent="0.15">
      <c r="F17">
        <v>1</v>
      </c>
      <c r="G17" s="2">
        <f>_xlfn.NORM.DIST(F17,0,1,FALSE)</f>
        <v>0.24197072451914337</v>
      </c>
      <c r="H17" s="2">
        <f t="shared" si="5"/>
        <v>0.2291307333396316</v>
      </c>
      <c r="I17" s="2">
        <f t="shared" si="1"/>
        <v>0.2395225042751398</v>
      </c>
      <c r="J17" s="2">
        <f t="shared" si="1"/>
        <v>0.24075377807984838</v>
      </c>
      <c r="K17" s="2">
        <f t="shared" si="1"/>
        <v>0.2395225042751398</v>
      </c>
      <c r="L17" s="2">
        <f t="shared" si="1"/>
        <v>0.24075377807984838</v>
      </c>
      <c r="S17">
        <v>14</v>
      </c>
      <c r="T17">
        <f t="shared" si="2"/>
        <v>0.82789713144302368</v>
      </c>
      <c r="U17">
        <f t="shared" si="0"/>
        <v>0.54406850695610043</v>
      </c>
      <c r="V17">
        <f t="shared" si="0"/>
        <v>0.50370741963386534</v>
      </c>
      <c r="W17">
        <f t="shared" si="0"/>
        <v>0.50313751168251042</v>
      </c>
      <c r="X17">
        <f t="shared" si="0"/>
        <v>0.50308477034568788</v>
      </c>
      <c r="Z17">
        <v>0.52999999999999903</v>
      </c>
      <c r="AA17">
        <v>2</v>
      </c>
      <c r="AB17">
        <v>6</v>
      </c>
      <c r="AC17">
        <v>2</v>
      </c>
      <c r="AD17">
        <v>0</v>
      </c>
      <c r="AE17">
        <v>0</v>
      </c>
      <c r="AF17">
        <v>14</v>
      </c>
      <c r="AG17">
        <f t="shared" si="3"/>
        <v>0.12007745322261931</v>
      </c>
      <c r="AH17">
        <f t="shared" si="4"/>
        <v>9.2127025391069248E-2</v>
      </c>
      <c r="AI17">
        <f t="shared" si="4"/>
        <v>0.10148964534466073</v>
      </c>
      <c r="AJ17">
        <f t="shared" si="4"/>
        <v>9.8115542674572467E-2</v>
      </c>
      <c r="AK17">
        <f t="shared" si="4"/>
        <v>9.8943728069380149E-2</v>
      </c>
      <c r="AM17">
        <v>0.109</v>
      </c>
      <c r="AN17">
        <v>0</v>
      </c>
      <c r="AO17">
        <v>2</v>
      </c>
      <c r="AP17">
        <v>1</v>
      </c>
      <c r="AQ17">
        <v>0</v>
      </c>
      <c r="AR17">
        <v>0</v>
      </c>
      <c r="AT17">
        <v>14</v>
      </c>
      <c r="AU17">
        <f>MeanOfLogNormal(AG$3,0,1)</f>
        <v>2.0818787233694778</v>
      </c>
      <c r="AV17">
        <f>MeanOfLogNormal(AH$3,0,1)</f>
        <v>1.8641939903586608</v>
      </c>
      <c r="AW17">
        <f>MeanOfLogNormal(AI$3,0,1)</f>
        <v>1.7409385671889062</v>
      </c>
      <c r="AX17">
        <f>MeanOfLogNormal(AJ$3,0,1)</f>
        <v>1.7112914745427223</v>
      </c>
      <c r="AZ17">
        <v>1.85</v>
      </c>
      <c r="BA17">
        <v>0</v>
      </c>
      <c r="BB17">
        <v>5</v>
      </c>
      <c r="BC17">
        <v>1</v>
      </c>
      <c r="BD17">
        <v>0</v>
      </c>
    </row>
    <row r="18" spans="6:56" x14ac:dyDescent="0.15">
      <c r="F18">
        <v>1.5</v>
      </c>
      <c r="G18" s="2">
        <f>_xlfn.NORM.DIST(F18,0,1,FALSE)</f>
        <v>0.12951759566589174</v>
      </c>
      <c r="H18" s="2">
        <f t="shared" si="5"/>
        <v>0.12715127893906839</v>
      </c>
      <c r="I18" s="2">
        <f t="shared" si="1"/>
        <v>0.12919618476733519</v>
      </c>
      <c r="J18" s="2">
        <f t="shared" si="1"/>
        <v>0.12936640714178749</v>
      </c>
      <c r="K18" s="2">
        <f t="shared" si="1"/>
        <v>0.12919618476733519</v>
      </c>
      <c r="L18" s="2">
        <f t="shared" si="1"/>
        <v>0.12936640714178749</v>
      </c>
      <c r="S18">
        <v>15</v>
      </c>
      <c r="T18">
        <f t="shared" si="2"/>
        <v>7.6333284378051758E-3</v>
      </c>
      <c r="U18">
        <f t="shared" si="0"/>
        <v>0.48939169526100157</v>
      </c>
      <c r="V18">
        <f t="shared" si="0"/>
        <v>0.49291458916664121</v>
      </c>
      <c r="W18">
        <f t="shared" si="0"/>
        <v>0.4960906888484955</v>
      </c>
      <c r="X18">
        <f t="shared" si="0"/>
        <v>0.49911735730171203</v>
      </c>
      <c r="Z18">
        <v>0.53999999999999904</v>
      </c>
      <c r="AA18">
        <v>1</v>
      </c>
      <c r="AB18">
        <v>3</v>
      </c>
      <c r="AC18">
        <v>0</v>
      </c>
      <c r="AD18">
        <v>0</v>
      </c>
      <c r="AE18">
        <v>0</v>
      </c>
      <c r="AF18">
        <v>15</v>
      </c>
      <c r="AG18">
        <f t="shared" si="3"/>
        <v>7.1002932676440061E-2</v>
      </c>
      <c r="AH18">
        <f t="shared" si="4"/>
        <v>9.6746215065091026E-2</v>
      </c>
      <c r="AI18">
        <f t="shared" si="4"/>
        <v>0.10372526105961628</v>
      </c>
      <c r="AJ18">
        <f t="shared" si="4"/>
        <v>0.10221600578740407</v>
      </c>
      <c r="AK18">
        <f t="shared" si="4"/>
        <v>9.9549055899425545E-2</v>
      </c>
      <c r="AM18">
        <v>0.112</v>
      </c>
      <c r="AN18">
        <v>4</v>
      </c>
      <c r="AO18">
        <v>5</v>
      </c>
      <c r="AP18">
        <v>0</v>
      </c>
      <c r="AQ18">
        <v>0</v>
      </c>
      <c r="AR18">
        <v>0</v>
      </c>
      <c r="AT18">
        <v>15</v>
      </c>
      <c r="AU18">
        <f>MeanOfLogNormal(AG$3,0,1)</f>
        <v>3.5028346653125402</v>
      </c>
      <c r="AV18">
        <f>MeanOfLogNormal(AH$3,0,1)</f>
        <v>1.2872308491576334</v>
      </c>
      <c r="AW18">
        <f>MeanOfLogNormal(AI$3,0,1)</f>
        <v>1.6986509578326932</v>
      </c>
      <c r="AX18">
        <f>MeanOfLogNormal(AJ$3,0,1)</f>
        <v>1.6471343963191845</v>
      </c>
      <c r="AZ18">
        <v>1.9</v>
      </c>
      <c r="BA18">
        <v>2</v>
      </c>
      <c r="BB18">
        <v>3</v>
      </c>
      <c r="BC18">
        <v>0</v>
      </c>
      <c r="BD18">
        <v>0</v>
      </c>
    </row>
    <row r="19" spans="6:56" x14ac:dyDescent="0.15">
      <c r="F19">
        <v>2</v>
      </c>
      <c r="G19" s="2">
        <f>_xlfn.NORM.DIST(F19,0,1,FALSE)</f>
        <v>5.3990966513188063E-2</v>
      </c>
      <c r="H19" s="2">
        <f t="shared" si="5"/>
        <v>6.1711568313873859E-2</v>
      </c>
      <c r="I19" s="2">
        <f t="shared" si="1"/>
        <v>5.5808415470971047E-2</v>
      </c>
      <c r="J19" s="2">
        <f t="shared" si="1"/>
        <v>5.4917641266144644E-2</v>
      </c>
      <c r="K19" s="2">
        <f t="shared" si="1"/>
        <v>5.5808415470971047E-2</v>
      </c>
      <c r="L19" s="2">
        <f t="shared" si="1"/>
        <v>5.4917641266144644E-2</v>
      </c>
      <c r="S19">
        <v>16</v>
      </c>
      <c r="T19">
        <f t="shared" si="2"/>
        <v>0.61619323492050171</v>
      </c>
      <c r="U19">
        <f t="shared" si="0"/>
        <v>0.5054741775989533</v>
      </c>
      <c r="V19">
        <f t="shared" si="0"/>
        <v>0.48663485312461852</v>
      </c>
      <c r="W19">
        <f t="shared" si="0"/>
        <v>0.49949170079231264</v>
      </c>
      <c r="X19">
        <f t="shared" si="0"/>
        <v>0.5041845370769501</v>
      </c>
      <c r="Z19">
        <v>0.54999999999999905</v>
      </c>
      <c r="AA19">
        <v>1</v>
      </c>
      <c r="AB19">
        <v>7</v>
      </c>
      <c r="AC19">
        <v>0</v>
      </c>
      <c r="AD19">
        <v>0</v>
      </c>
      <c r="AE19">
        <v>0</v>
      </c>
      <c r="AF19">
        <v>16</v>
      </c>
      <c r="AG19">
        <f t="shared" si="3"/>
        <v>0.10098969858909042</v>
      </c>
      <c r="AH19">
        <f t="shared" si="4"/>
        <v>0.10530194256054429</v>
      </c>
      <c r="AI19">
        <f t="shared" si="4"/>
        <v>9.5203111409803892E-2</v>
      </c>
      <c r="AJ19">
        <f t="shared" si="4"/>
        <v>9.9960301716472827E-2</v>
      </c>
      <c r="AK19">
        <f t="shared" si="4"/>
        <v>0.1001797470580178</v>
      </c>
      <c r="AM19">
        <v>0.115</v>
      </c>
      <c r="AN19">
        <v>1</v>
      </c>
      <c r="AO19">
        <v>4</v>
      </c>
      <c r="AP19">
        <v>0</v>
      </c>
      <c r="AQ19">
        <v>0</v>
      </c>
      <c r="AR19">
        <v>0</v>
      </c>
      <c r="AT19">
        <v>16</v>
      </c>
      <c r="AU19">
        <f>MeanOfLogNormal(AG$3,0,1)</f>
        <v>0.88142946262324651</v>
      </c>
      <c r="AV19">
        <f>MeanOfLogNormal(AH$3,0,1)</f>
        <v>1.5996458300970204</v>
      </c>
      <c r="AW19">
        <f>MeanOfLogNormal(AI$3,0,1)</f>
        <v>1.6502864564362016</v>
      </c>
      <c r="AX19">
        <f>MeanOfLogNormal(AJ$3,0,1)</f>
        <v>1.6618523375346701</v>
      </c>
      <c r="AZ19">
        <v>1.95</v>
      </c>
      <c r="BA19">
        <v>1</v>
      </c>
      <c r="BB19">
        <v>1</v>
      </c>
      <c r="BC19">
        <v>0</v>
      </c>
      <c r="BD19">
        <v>0</v>
      </c>
    </row>
    <row r="20" spans="6:56" x14ac:dyDescent="0.15">
      <c r="F20">
        <v>2.5</v>
      </c>
      <c r="G20" s="2">
        <f>_xlfn.NORM.DIST(F20,0,1,FALSE)</f>
        <v>1.752830049356854E-2</v>
      </c>
      <c r="H20" s="2">
        <f t="shared" si="5"/>
        <v>2.7780120592759115E-2</v>
      </c>
      <c r="I20" s="2">
        <f t="shared" si="1"/>
        <v>1.9737374118229057E-2</v>
      </c>
      <c r="J20" s="2">
        <f t="shared" si="1"/>
        <v>1.8640943311069597E-2</v>
      </c>
      <c r="K20" s="2">
        <f t="shared" si="1"/>
        <v>1.9737374118229057E-2</v>
      </c>
      <c r="L20" s="2">
        <f t="shared" si="1"/>
        <v>1.8640943311069597E-2</v>
      </c>
      <c r="S20">
        <v>17</v>
      </c>
      <c r="T20">
        <f t="shared" si="2"/>
        <v>0.57271748781204224</v>
      </c>
      <c r="U20">
        <f t="shared" si="0"/>
        <v>0.49901090502738954</v>
      </c>
      <c r="V20">
        <f t="shared" si="0"/>
        <v>0.48753542256355287</v>
      </c>
      <c r="W20">
        <f t="shared" si="0"/>
        <v>0.4973318160533905</v>
      </c>
      <c r="X20">
        <f t="shared" si="0"/>
        <v>0.50123672080039983</v>
      </c>
      <c r="Z20">
        <v>0.55999999999999905</v>
      </c>
      <c r="AA20">
        <v>0</v>
      </c>
      <c r="AB20">
        <v>2</v>
      </c>
      <c r="AC20">
        <v>0</v>
      </c>
      <c r="AD20">
        <v>0</v>
      </c>
      <c r="AE20">
        <v>0</v>
      </c>
      <c r="AF20">
        <v>17</v>
      </c>
      <c r="AG20">
        <f t="shared" si="3"/>
        <v>3.4981328298457251E-2</v>
      </c>
      <c r="AH20">
        <f t="shared" si="4"/>
        <v>9.6661009481798399E-2</v>
      </c>
      <c r="AI20">
        <f t="shared" si="4"/>
        <v>9.9013763961788723E-2</v>
      </c>
      <c r="AJ20">
        <f t="shared" si="4"/>
        <v>9.9684924495977351E-2</v>
      </c>
      <c r="AK20">
        <f t="shared" si="4"/>
        <v>0.10017299312937988</v>
      </c>
      <c r="AM20">
        <v>0.11799999999999999</v>
      </c>
      <c r="AN20">
        <v>2</v>
      </c>
      <c r="AO20">
        <v>3</v>
      </c>
      <c r="AP20">
        <v>0</v>
      </c>
      <c r="AQ20">
        <v>0</v>
      </c>
      <c r="AR20">
        <v>0</v>
      </c>
      <c r="AT20">
        <v>17</v>
      </c>
      <c r="AU20">
        <f>MeanOfLogNormal(AG$3,0,1)</f>
        <v>0.48636417535042664</v>
      </c>
      <c r="AV20">
        <f>MeanOfLogNormal(AH$3,0,1)</f>
        <v>1.5915773207291395</v>
      </c>
      <c r="AW20">
        <f>MeanOfLogNormal(AI$3,0,1)</f>
        <v>1.6744238101771265</v>
      </c>
      <c r="AX20">
        <f>MeanOfLogNormal(AJ$3,0,1)</f>
        <v>1.5996992392768332</v>
      </c>
      <c r="AZ20">
        <v>2</v>
      </c>
      <c r="BA20">
        <v>1</v>
      </c>
      <c r="BB20">
        <v>1</v>
      </c>
      <c r="BC20">
        <v>0</v>
      </c>
      <c r="BD20">
        <v>0</v>
      </c>
    </row>
    <row r="21" spans="6:56" x14ac:dyDescent="0.15">
      <c r="F21">
        <v>3</v>
      </c>
      <c r="G21" s="2">
        <f>_xlfn.NORM.DIST(F21,0,1,FALSE)</f>
        <v>4.4318484119380075E-3</v>
      </c>
      <c r="H21" s="2">
        <f t="shared" si="5"/>
        <v>1.2126090902239641E-2</v>
      </c>
      <c r="I21" s="2">
        <f t="shared" si="1"/>
        <v>5.8599861965602865E-3</v>
      </c>
      <c r="J21" s="2">
        <f t="shared" si="1"/>
        <v>5.1331663279579201E-3</v>
      </c>
      <c r="K21" s="2">
        <f t="shared" si="1"/>
        <v>5.8599861965602865E-3</v>
      </c>
      <c r="L21" s="2">
        <f t="shared" si="1"/>
        <v>5.1331663279579201E-3</v>
      </c>
      <c r="S21">
        <v>18</v>
      </c>
      <c r="T21">
        <f t="shared" ref="T21:X36" si="6">MeanOfUniform(T$3)</f>
        <v>0.33349049091339111</v>
      </c>
      <c r="U21">
        <f t="shared" si="0"/>
        <v>0.49932028412818907</v>
      </c>
      <c r="V21">
        <f t="shared" si="0"/>
        <v>0.49355564951896669</v>
      </c>
      <c r="W21">
        <f t="shared" si="0"/>
        <v>0.49500465712547304</v>
      </c>
      <c r="X21">
        <f t="shared" si="0"/>
        <v>0.49777917675971983</v>
      </c>
      <c r="Z21">
        <v>0.56999999999999895</v>
      </c>
      <c r="AA21">
        <v>0</v>
      </c>
      <c r="AB21">
        <v>2</v>
      </c>
      <c r="AC21">
        <v>0</v>
      </c>
      <c r="AD21">
        <v>0</v>
      </c>
      <c r="AE21">
        <v>0</v>
      </c>
      <c r="AF21">
        <v>18</v>
      </c>
      <c r="AG21">
        <f t="shared" ref="AG21:AK36" si="7">MeanOfExp(AG$3,10)</f>
        <v>5.108954232409494E-2</v>
      </c>
      <c r="AH21">
        <f t="shared" si="4"/>
        <v>0.10475793698760004</v>
      </c>
      <c r="AI21">
        <f t="shared" si="4"/>
        <v>0.10154218848870927</v>
      </c>
      <c r="AJ21">
        <f t="shared" si="4"/>
        <v>9.7958634439371584E-2</v>
      </c>
      <c r="AK21">
        <f t="shared" si="4"/>
        <v>0.10065744473985738</v>
      </c>
      <c r="AM21">
        <v>0.121</v>
      </c>
      <c r="AN21">
        <v>1</v>
      </c>
      <c r="AO21">
        <v>1</v>
      </c>
      <c r="AP21">
        <v>0</v>
      </c>
      <c r="AQ21">
        <v>0</v>
      </c>
      <c r="AR21">
        <v>0</v>
      </c>
      <c r="AT21">
        <v>18</v>
      </c>
      <c r="AU21">
        <f>MeanOfLogNormal(AG$3,0,1)</f>
        <v>1.1573172991734848</v>
      </c>
      <c r="AV21">
        <f>MeanOfLogNormal(AH$3,0,1)</f>
        <v>1.4753776054075103</v>
      </c>
      <c r="AW21">
        <f>MeanOfLogNormal(AI$3,0,1)</f>
        <v>1.5664102342772506</v>
      </c>
      <c r="AX21">
        <f>MeanOfLogNormal(AJ$3,0,1)</f>
        <v>1.6504243323732781</v>
      </c>
      <c r="AZ21">
        <v>2.0499999999999998</v>
      </c>
      <c r="BA21">
        <v>1</v>
      </c>
      <c r="BB21">
        <v>4</v>
      </c>
      <c r="BC21">
        <v>0</v>
      </c>
      <c r="BD21">
        <v>0</v>
      </c>
    </row>
    <row r="22" spans="6:56" x14ac:dyDescent="0.15">
      <c r="F22">
        <v>3.5</v>
      </c>
      <c r="G22" s="2">
        <f>_xlfn.NORM.DIST(F22,0,1,FALSE)</f>
        <v>8.7268269504576015E-4</v>
      </c>
      <c r="H22" s="2">
        <f t="shared" ref="H22:L25" si="8">_xlfn.T.DIST($F22,H$4-1,FALSE)</f>
        <v>5.2879662318621153E-3</v>
      </c>
      <c r="I22" s="2">
        <f t="shared" si="1"/>
        <v>1.4994918380682818E-3</v>
      </c>
      <c r="J22" s="2">
        <f t="shared" si="1"/>
        <v>1.1656606299136998E-3</v>
      </c>
      <c r="K22" s="2">
        <f t="shared" si="1"/>
        <v>1.4994918380682818E-3</v>
      </c>
      <c r="L22" s="2">
        <f t="shared" si="1"/>
        <v>1.1656606299136998E-3</v>
      </c>
      <c r="S22">
        <v>19</v>
      </c>
      <c r="T22">
        <f t="shared" si="6"/>
        <v>0.41619628667831421</v>
      </c>
      <c r="U22">
        <f t="shared" si="0"/>
        <v>0.51004801154136659</v>
      </c>
      <c r="V22">
        <f t="shared" si="0"/>
        <v>0.50061987853050227</v>
      </c>
      <c r="W22">
        <f t="shared" si="0"/>
        <v>0.50262349095344538</v>
      </c>
      <c r="X22">
        <f t="shared" si="0"/>
        <v>0.50038978610038753</v>
      </c>
      <c r="Z22">
        <v>0.57999999999999896</v>
      </c>
      <c r="AA22">
        <v>1</v>
      </c>
      <c r="AB22">
        <v>0</v>
      </c>
      <c r="AC22">
        <v>0</v>
      </c>
      <c r="AD22">
        <v>0</v>
      </c>
      <c r="AE22">
        <v>0</v>
      </c>
      <c r="AF22">
        <v>19</v>
      </c>
      <c r="AG22">
        <f t="shared" si="7"/>
        <v>4.9532280660946865E-2</v>
      </c>
      <c r="AH22">
        <f t="shared" si="4"/>
        <v>0.10217443659580676</v>
      </c>
      <c r="AI22">
        <f t="shared" si="4"/>
        <v>0.10084893244201212</v>
      </c>
      <c r="AJ22">
        <f t="shared" si="4"/>
        <v>9.9678690137123493E-2</v>
      </c>
      <c r="AK22">
        <f t="shared" si="4"/>
        <v>0.1000705456849529</v>
      </c>
      <c r="AM22">
        <v>0.124</v>
      </c>
      <c r="AN22">
        <v>0</v>
      </c>
      <c r="AO22">
        <v>1</v>
      </c>
      <c r="AP22">
        <v>0</v>
      </c>
      <c r="AQ22">
        <v>0</v>
      </c>
      <c r="AR22">
        <v>0</v>
      </c>
      <c r="AT22">
        <v>19</v>
      </c>
      <c r="AU22">
        <f>MeanOfLogNormal(AG$3,0,1)</f>
        <v>0.94293188174086018</v>
      </c>
      <c r="AV22">
        <f>MeanOfLogNormal(AH$3,0,1)</f>
        <v>1.5447656797753238</v>
      </c>
      <c r="AW22">
        <f>MeanOfLogNormal(AI$3,0,1)</f>
        <v>1.7702786433748001</v>
      </c>
      <c r="AX22">
        <f>MeanOfLogNormal(AJ$3,0,1)</f>
        <v>1.6502238633203044</v>
      </c>
      <c r="AZ22">
        <v>2.1</v>
      </c>
      <c r="BA22">
        <v>2</v>
      </c>
      <c r="BB22">
        <v>2</v>
      </c>
      <c r="BC22">
        <v>0</v>
      </c>
      <c r="BD22">
        <v>0</v>
      </c>
    </row>
    <row r="23" spans="6:56" x14ac:dyDescent="0.15">
      <c r="F23">
        <v>4</v>
      </c>
      <c r="G23" s="2">
        <f>_xlfn.NORM.DIST(F23,0,1,FALSE)</f>
        <v>1.3383022576488537E-4</v>
      </c>
      <c r="H23" s="2">
        <f t="shared" si="8"/>
        <v>2.3462987093978288E-3</v>
      </c>
      <c r="I23" s="2">
        <f t="shared" si="1"/>
        <v>3.3943960706719315E-4</v>
      </c>
      <c r="J23" s="2">
        <f t="shared" si="1"/>
        <v>2.2216778923046359E-4</v>
      </c>
      <c r="K23" s="2">
        <f t="shared" si="1"/>
        <v>3.3943960706719315E-4</v>
      </c>
      <c r="L23" s="2">
        <f t="shared" si="1"/>
        <v>2.2216778923046359E-4</v>
      </c>
      <c r="S23">
        <v>20</v>
      </c>
      <c r="T23">
        <f t="shared" si="6"/>
        <v>0.506683349609375</v>
      </c>
      <c r="U23">
        <f t="shared" si="0"/>
        <v>0.46741507411003114</v>
      </c>
      <c r="V23">
        <f t="shared" si="0"/>
        <v>0.49810520100593569</v>
      </c>
      <c r="W23">
        <f t="shared" si="0"/>
        <v>0.50569917445182799</v>
      </c>
      <c r="X23">
        <f t="shared" si="0"/>
        <v>0.49737323746681211</v>
      </c>
      <c r="Z23">
        <v>0.58999999999999897</v>
      </c>
      <c r="AA23">
        <v>0</v>
      </c>
      <c r="AB23">
        <v>1</v>
      </c>
      <c r="AC23">
        <v>0</v>
      </c>
      <c r="AD23">
        <v>0</v>
      </c>
      <c r="AE23">
        <v>0</v>
      </c>
      <c r="AF23">
        <v>20</v>
      </c>
      <c r="AG23">
        <f t="shared" si="7"/>
        <v>1.3234592907335325E-2</v>
      </c>
      <c r="AH23">
        <f t="shared" si="4"/>
        <v>0.10366754816472572</v>
      </c>
      <c r="AI23">
        <f t="shared" si="4"/>
        <v>0.10203704754646492</v>
      </c>
      <c r="AJ23">
        <f t="shared" si="4"/>
        <v>0.10089958673491729</v>
      </c>
      <c r="AK23">
        <f t="shared" si="4"/>
        <v>0.10140221844735053</v>
      </c>
      <c r="AM23">
        <v>0.127</v>
      </c>
      <c r="AN23">
        <v>0</v>
      </c>
      <c r="AO23">
        <v>0</v>
      </c>
      <c r="AP23">
        <v>0</v>
      </c>
      <c r="AQ23">
        <v>0</v>
      </c>
      <c r="AR23">
        <v>0</v>
      </c>
      <c r="AT23">
        <v>20</v>
      </c>
      <c r="AU23">
        <f>MeanOfLogNormal(AG$3,0,1)</f>
        <v>0.43639624114978898</v>
      </c>
      <c r="AV23">
        <f>MeanOfLogNormal(AH$3,0,1)</f>
        <v>1.5643388314983599</v>
      </c>
      <c r="AW23">
        <f>MeanOfLogNormal(AI$3,0,1)</f>
        <v>1.6994848801252671</v>
      </c>
      <c r="AX23">
        <f>MeanOfLogNormal(AJ$3,0,1)</f>
        <v>1.6045136062277989</v>
      </c>
      <c r="AZ23">
        <v>2.15</v>
      </c>
      <c r="BA23">
        <v>1</v>
      </c>
      <c r="BB23">
        <v>1</v>
      </c>
      <c r="BC23">
        <v>0</v>
      </c>
      <c r="BD23">
        <v>0</v>
      </c>
    </row>
    <row r="24" spans="6:56" x14ac:dyDescent="0.15">
      <c r="F24">
        <v>4.5</v>
      </c>
      <c r="G24" s="2">
        <f>_xlfn.NORM.DIST(F24,0,1,FALSE)</f>
        <v>1.5983741106905475E-5</v>
      </c>
      <c r="H24" s="2">
        <f t="shared" si="8"/>
        <v>1.0701730080679912E-3</v>
      </c>
      <c r="I24" s="2">
        <f t="shared" si="1"/>
        <v>6.9679012743303464E-5</v>
      </c>
      <c r="J24" s="2">
        <f t="shared" si="1"/>
        <v>3.6195428758847133E-5</v>
      </c>
      <c r="K24" s="2">
        <f t="shared" si="1"/>
        <v>6.9679012743303464E-5</v>
      </c>
      <c r="L24" s="2">
        <f t="shared" si="1"/>
        <v>3.6195428758847133E-5</v>
      </c>
      <c r="S24">
        <v>21</v>
      </c>
      <c r="T24">
        <f t="shared" si="6"/>
        <v>0.60011851787567139</v>
      </c>
      <c r="U24">
        <f t="shared" si="6"/>
        <v>0.52565825104713437</v>
      </c>
      <c r="V24">
        <f t="shared" si="6"/>
        <v>0.4921878516674042</v>
      </c>
      <c r="W24">
        <f t="shared" si="6"/>
        <v>0.49803392434120181</v>
      </c>
      <c r="X24">
        <f t="shared" si="6"/>
        <v>0.50418407063484194</v>
      </c>
      <c r="Z24">
        <v>0.59999999999999898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</v>
      </c>
      <c r="AG24">
        <f t="shared" si="7"/>
        <v>0.1558999579917944</v>
      </c>
      <c r="AH24">
        <f t="shared" si="7"/>
        <v>9.68026209324854E-2</v>
      </c>
      <c r="AI24">
        <f t="shared" si="7"/>
        <v>0.10234780921813363</v>
      </c>
      <c r="AJ24">
        <f t="shared" si="7"/>
        <v>0.10250740791467874</v>
      </c>
      <c r="AK24">
        <f t="shared" si="7"/>
        <v>0.10140060085227456</v>
      </c>
      <c r="AM24">
        <v>0.13</v>
      </c>
      <c r="AN24">
        <v>0</v>
      </c>
      <c r="AO24">
        <v>0</v>
      </c>
      <c r="AP24">
        <v>0</v>
      </c>
      <c r="AQ24">
        <v>0</v>
      </c>
      <c r="AR24">
        <v>0</v>
      </c>
      <c r="AT24">
        <v>21</v>
      </c>
      <c r="AU24">
        <f>MeanOfLogNormal(AG$3,0,1)</f>
        <v>0.8064619304820394</v>
      </c>
      <c r="AV24">
        <f>MeanOfLogNormal(AH$3,0,1)</f>
        <v>1.4950842825065118</v>
      </c>
      <c r="AW24">
        <f>MeanOfLogNormal(AI$3,0,1)</f>
        <v>1.7531947543050452</v>
      </c>
      <c r="AX24">
        <f>MeanOfLogNormal(AJ$3,0,1)</f>
        <v>1.6217474403860281</v>
      </c>
      <c r="AZ24">
        <v>2.2000000000000002</v>
      </c>
      <c r="BA24">
        <v>0</v>
      </c>
      <c r="BB24">
        <v>1</v>
      </c>
      <c r="BC24">
        <v>0</v>
      </c>
      <c r="BD24">
        <v>0</v>
      </c>
    </row>
    <row r="25" spans="6:56" x14ac:dyDescent="0.15">
      <c r="F25">
        <v>5</v>
      </c>
      <c r="G25" s="2">
        <f>_xlfn.NORM.DIST(F25,0,1,FALSE)</f>
        <v>1.4867195147342977E-6</v>
      </c>
      <c r="H25" s="2">
        <f t="shared" si="8"/>
        <v>5.0429975813504361E-4</v>
      </c>
      <c r="I25" s="2">
        <f t="shared" si="1"/>
        <v>1.3267938164682242E-5</v>
      </c>
      <c r="J25" s="2">
        <f t="shared" si="1"/>
        <v>5.1343899893436763E-6</v>
      </c>
      <c r="K25" s="2">
        <f t="shared" si="1"/>
        <v>1.3267938164682242E-5</v>
      </c>
      <c r="L25" s="2">
        <f t="shared" si="1"/>
        <v>5.1343899893436763E-6</v>
      </c>
      <c r="S25">
        <v>22</v>
      </c>
      <c r="T25">
        <f t="shared" si="6"/>
        <v>8.0027997493743896E-2</v>
      </c>
      <c r="U25">
        <f t="shared" si="6"/>
        <v>0.56262064337730411</v>
      </c>
      <c r="V25">
        <f t="shared" si="6"/>
        <v>0.49323780846595766</v>
      </c>
      <c r="W25">
        <f t="shared" si="6"/>
        <v>0.5067326145648956</v>
      </c>
      <c r="X25">
        <f t="shared" si="6"/>
        <v>0.50281782870292668</v>
      </c>
      <c r="Z25">
        <v>0.60999999999999899</v>
      </c>
      <c r="AA25">
        <v>42</v>
      </c>
      <c r="AB25">
        <v>0</v>
      </c>
      <c r="AC25">
        <v>0</v>
      </c>
      <c r="AD25">
        <v>0</v>
      </c>
      <c r="AE25">
        <v>0</v>
      </c>
      <c r="AF25">
        <v>22</v>
      </c>
      <c r="AG25">
        <f t="shared" si="7"/>
        <v>0.14178555415772751</v>
      </c>
      <c r="AH25">
        <f t="shared" si="7"/>
        <v>0.10498777420740588</v>
      </c>
      <c r="AI25">
        <f t="shared" si="7"/>
        <v>0.10543114465289716</v>
      </c>
      <c r="AJ25">
        <f t="shared" si="7"/>
        <v>9.9077089206084115E-2</v>
      </c>
      <c r="AK25">
        <f t="shared" si="7"/>
        <v>9.828853931157068E-2</v>
      </c>
      <c r="AM25">
        <v>0.13300000000000001</v>
      </c>
      <c r="AN25">
        <v>26</v>
      </c>
      <c r="AO25">
        <v>0</v>
      </c>
      <c r="AP25">
        <v>0</v>
      </c>
      <c r="AQ25">
        <v>0</v>
      </c>
      <c r="AR25">
        <v>0</v>
      </c>
      <c r="AT25">
        <v>22</v>
      </c>
      <c r="AU25">
        <f t="shared" ref="AU25:AU88" si="9">MeanOfLogNormal(AG$3,0,1)</f>
        <v>0.77102434484622873</v>
      </c>
      <c r="AV25">
        <f t="shared" ref="AV25:AV88" si="10">MeanOfLogNormal(AH$3,0,1)</f>
        <v>2.1628961321125382</v>
      </c>
      <c r="AW25">
        <f t="shared" ref="AW25:AW88" si="11">MeanOfLogNormal(AI$3,0,1)</f>
        <v>1.7155290161499086</v>
      </c>
      <c r="AX25">
        <f t="shared" ref="AX25:AX88" si="12">MeanOfLogNormal(AJ$3,0,1)</f>
        <v>1.6379239809883959</v>
      </c>
      <c r="AZ25">
        <v>2.25</v>
      </c>
      <c r="BA25">
        <v>19</v>
      </c>
      <c r="BB25">
        <v>0</v>
      </c>
      <c r="BC25">
        <v>0</v>
      </c>
      <c r="BD25">
        <v>0</v>
      </c>
    </row>
    <row r="26" spans="6:56" x14ac:dyDescent="0.15">
      <c r="S26">
        <v>23</v>
      </c>
      <c r="T26">
        <f t="shared" si="6"/>
        <v>0.7693939208984375</v>
      </c>
      <c r="U26">
        <f t="shared" si="6"/>
        <v>0.54934750676155086</v>
      </c>
      <c r="V26">
        <f t="shared" si="6"/>
        <v>0.50476726651191717</v>
      </c>
      <c r="W26">
        <f t="shared" si="6"/>
        <v>0.50045519556999207</v>
      </c>
      <c r="X26">
        <f t="shared" si="6"/>
        <v>0.5030354200839996</v>
      </c>
      <c r="AF26">
        <v>23</v>
      </c>
      <c r="AG26">
        <f t="shared" si="7"/>
        <v>2.6439225151743167E-2</v>
      </c>
      <c r="AH26">
        <f t="shared" si="7"/>
        <v>0.10070246801588192</v>
      </c>
      <c r="AI26">
        <f t="shared" si="7"/>
        <v>0.10080555196634805</v>
      </c>
      <c r="AJ26">
        <f t="shared" si="7"/>
        <v>9.7102694139773627E-2</v>
      </c>
      <c r="AK26">
        <f t="shared" si="7"/>
        <v>0.10107901322902875</v>
      </c>
      <c r="AT26">
        <v>23</v>
      </c>
      <c r="AU26">
        <f t="shared" si="9"/>
        <v>0.46136149678277127</v>
      </c>
      <c r="AV26">
        <f t="shared" si="10"/>
        <v>1.7993569724590031</v>
      </c>
      <c r="AW26">
        <f t="shared" si="11"/>
        <v>1.700767577618356</v>
      </c>
      <c r="AX26">
        <f t="shared" si="12"/>
        <v>1.6447463752981701</v>
      </c>
    </row>
    <row r="27" spans="6:56" x14ac:dyDescent="0.15">
      <c r="S27">
        <v>24</v>
      </c>
      <c r="T27">
        <f t="shared" si="6"/>
        <v>0.90289384126663208</v>
      </c>
      <c r="U27">
        <f t="shared" si="6"/>
        <v>0.50730373024940489</v>
      </c>
      <c r="V27">
        <f t="shared" si="6"/>
        <v>0.48956506419181822</v>
      </c>
      <c r="W27">
        <f t="shared" si="6"/>
        <v>0.50028165383338929</v>
      </c>
      <c r="X27">
        <f t="shared" si="6"/>
        <v>0.50170879874229435</v>
      </c>
      <c r="AF27">
        <v>24</v>
      </c>
      <c r="AG27">
        <f t="shared" si="7"/>
        <v>8.5924603948470785E-4</v>
      </c>
      <c r="AH27">
        <f t="shared" si="7"/>
        <v>0.10354850383115671</v>
      </c>
      <c r="AI27">
        <f t="shared" si="7"/>
        <v>0.10168367753395065</v>
      </c>
      <c r="AJ27">
        <f t="shared" si="7"/>
        <v>9.7559055356651964E-2</v>
      </c>
      <c r="AK27">
        <f t="shared" si="7"/>
        <v>0.10073608897802296</v>
      </c>
      <c r="AT27">
        <v>24</v>
      </c>
      <c r="AU27">
        <f t="shared" si="9"/>
        <v>0.58880988968939019</v>
      </c>
      <c r="AV27">
        <f t="shared" si="10"/>
        <v>1.6841719672678002</v>
      </c>
      <c r="AW27">
        <f t="shared" si="11"/>
        <v>1.5693031950044054</v>
      </c>
      <c r="AX27">
        <f t="shared" si="12"/>
        <v>1.6502616558830911</v>
      </c>
    </row>
    <row r="28" spans="6:56" x14ac:dyDescent="0.15">
      <c r="S28">
        <v>25</v>
      </c>
      <c r="T28">
        <f t="shared" si="6"/>
        <v>0.78497904539108276</v>
      </c>
      <c r="U28">
        <f t="shared" si="6"/>
        <v>0.48650286078453064</v>
      </c>
      <c r="V28">
        <f t="shared" si="6"/>
        <v>0.50235975670814514</v>
      </c>
      <c r="W28">
        <f t="shared" si="6"/>
        <v>0.50208838057518002</v>
      </c>
      <c r="X28">
        <f t="shared" si="6"/>
        <v>0.5007570685863495</v>
      </c>
      <c r="AF28">
        <v>25</v>
      </c>
      <c r="AG28">
        <f t="shared" si="7"/>
        <v>3.4994437077577621E-2</v>
      </c>
      <c r="AH28">
        <f t="shared" si="7"/>
        <v>9.8482616137349974E-2</v>
      </c>
      <c r="AI28">
        <f t="shared" si="7"/>
        <v>9.5369560863911226E-2</v>
      </c>
      <c r="AJ28">
        <f t="shared" si="7"/>
        <v>0.10202267044314818</v>
      </c>
      <c r="AK28">
        <f t="shared" si="7"/>
        <v>0.10080138987801532</v>
      </c>
      <c r="AT28">
        <v>25</v>
      </c>
      <c r="AU28">
        <f t="shared" si="9"/>
        <v>1.3382268127048857</v>
      </c>
      <c r="AV28">
        <f t="shared" si="10"/>
        <v>1.5626609554821236</v>
      </c>
      <c r="AW28">
        <f t="shared" si="11"/>
        <v>1.7001964839727186</v>
      </c>
      <c r="AX28">
        <f t="shared" si="12"/>
        <v>1.6108606349991017</v>
      </c>
    </row>
    <row r="29" spans="6:56" x14ac:dyDescent="0.15">
      <c r="S29">
        <v>26</v>
      </c>
      <c r="T29">
        <f t="shared" si="6"/>
        <v>0.97221946716308594</v>
      </c>
      <c r="U29">
        <f t="shared" si="6"/>
        <v>0.4943591034412384</v>
      </c>
      <c r="V29">
        <f t="shared" si="6"/>
        <v>0.48895326018333435</v>
      </c>
      <c r="W29">
        <f t="shared" si="6"/>
        <v>0.50091128726005552</v>
      </c>
      <c r="X29">
        <f t="shared" si="6"/>
        <v>0.49548285965919492</v>
      </c>
      <c r="AF29">
        <v>26</v>
      </c>
      <c r="AG29">
        <f t="shared" si="7"/>
        <v>0.1047134436589134</v>
      </c>
      <c r="AH29">
        <f t="shared" si="7"/>
        <v>0.1028229453653359</v>
      </c>
      <c r="AI29">
        <f t="shared" si="7"/>
        <v>9.8944476843690579E-2</v>
      </c>
      <c r="AJ29">
        <f t="shared" si="7"/>
        <v>9.9642355362042634E-2</v>
      </c>
      <c r="AK29">
        <f t="shared" si="7"/>
        <v>9.8367027088207673E-2</v>
      </c>
      <c r="AT29">
        <v>26</v>
      </c>
      <c r="AU29">
        <f t="shared" si="9"/>
        <v>0.87361855049518433</v>
      </c>
      <c r="AV29">
        <f t="shared" si="10"/>
        <v>1.6182228092736894</v>
      </c>
      <c r="AW29">
        <f t="shared" si="11"/>
        <v>1.7188089745919322</v>
      </c>
      <c r="AX29">
        <f t="shared" si="12"/>
        <v>1.6815713478319894</v>
      </c>
    </row>
    <row r="30" spans="6:56" x14ac:dyDescent="0.15">
      <c r="S30">
        <v>27</v>
      </c>
      <c r="T30">
        <f t="shared" si="6"/>
        <v>0.34242326021194458</v>
      </c>
      <c r="U30">
        <f t="shared" si="6"/>
        <v>0.56795603632926939</v>
      </c>
      <c r="V30">
        <f t="shared" si="6"/>
        <v>0.48822414660453795</v>
      </c>
      <c r="W30">
        <f t="shared" si="6"/>
        <v>0.49375961098670962</v>
      </c>
      <c r="X30">
        <f t="shared" si="6"/>
        <v>0.50119939932823176</v>
      </c>
      <c r="AF30">
        <v>27</v>
      </c>
      <c r="AG30">
        <f t="shared" si="7"/>
        <v>0.34482729987846861</v>
      </c>
      <c r="AH30">
        <f t="shared" si="7"/>
        <v>8.5712011973394897E-2</v>
      </c>
      <c r="AI30">
        <f t="shared" si="7"/>
        <v>0.10325566392536062</v>
      </c>
      <c r="AJ30">
        <f t="shared" si="7"/>
        <v>9.8445172115388363E-2</v>
      </c>
      <c r="AK30">
        <f t="shared" si="7"/>
        <v>0.10111472034229271</v>
      </c>
      <c r="AT30">
        <v>27</v>
      </c>
      <c r="AU30">
        <f t="shared" si="9"/>
        <v>0.58505311020748307</v>
      </c>
      <c r="AV30">
        <f t="shared" si="10"/>
        <v>1.6435235616573893</v>
      </c>
      <c r="AW30">
        <f t="shared" si="11"/>
        <v>1.69963806480221</v>
      </c>
      <c r="AX30">
        <f t="shared" si="12"/>
        <v>1.6439464713055942</v>
      </c>
    </row>
    <row r="31" spans="6:56" x14ac:dyDescent="0.15">
      <c r="S31">
        <v>28</v>
      </c>
      <c r="T31">
        <f t="shared" si="6"/>
        <v>0.95650565624237061</v>
      </c>
      <c r="U31">
        <f t="shared" si="6"/>
        <v>0.48132998824119566</v>
      </c>
      <c r="V31">
        <f t="shared" si="6"/>
        <v>0.52269992089271544</v>
      </c>
      <c r="W31">
        <f t="shared" si="6"/>
        <v>0.50548171553611754</v>
      </c>
      <c r="X31">
        <f t="shared" si="6"/>
        <v>0.49871369862556458</v>
      </c>
      <c r="AF31">
        <v>28</v>
      </c>
      <c r="AG31">
        <f t="shared" si="7"/>
        <v>0.11198895929016058</v>
      </c>
      <c r="AH31">
        <f t="shared" si="7"/>
        <v>0.11025069918290557</v>
      </c>
      <c r="AI31">
        <f t="shared" si="7"/>
        <v>9.5685341461628881E-2</v>
      </c>
      <c r="AJ31">
        <f t="shared" si="7"/>
        <v>9.88608990791046E-2</v>
      </c>
      <c r="AK31">
        <f t="shared" si="7"/>
        <v>9.9875871033323529E-2</v>
      </c>
      <c r="AT31">
        <v>28</v>
      </c>
      <c r="AU31">
        <f t="shared" si="9"/>
        <v>1.4715425663032129</v>
      </c>
      <c r="AV31">
        <f t="shared" si="10"/>
        <v>1.5069449495487823</v>
      </c>
      <c r="AW31">
        <f t="shared" si="11"/>
        <v>1.624058690570616</v>
      </c>
      <c r="AX31">
        <f t="shared" si="12"/>
        <v>1.6573423555091054</v>
      </c>
    </row>
    <row r="32" spans="6:56" x14ac:dyDescent="0.15">
      <c r="S32">
        <v>29</v>
      </c>
      <c r="T32">
        <f t="shared" si="6"/>
        <v>0.83942770957946777</v>
      </c>
      <c r="U32">
        <f t="shared" si="6"/>
        <v>0.50504460453987121</v>
      </c>
      <c r="V32">
        <f t="shared" si="6"/>
        <v>0.47686768889427184</v>
      </c>
      <c r="W32">
        <f t="shared" si="6"/>
        <v>0.50106578259468082</v>
      </c>
      <c r="X32">
        <f t="shared" si="6"/>
        <v>0.49929822411537172</v>
      </c>
      <c r="AF32">
        <v>29</v>
      </c>
      <c r="AG32">
        <f t="shared" si="7"/>
        <v>0.21492689879357241</v>
      </c>
      <c r="AH32">
        <f t="shared" si="7"/>
        <v>0.1147616256544203</v>
      </c>
      <c r="AI32">
        <f t="shared" si="7"/>
        <v>0.10047536886828315</v>
      </c>
      <c r="AJ32">
        <f t="shared" si="7"/>
        <v>0.10081867589895767</v>
      </c>
      <c r="AK32">
        <f t="shared" si="7"/>
        <v>9.8522099258110105E-2</v>
      </c>
      <c r="AT32">
        <v>29</v>
      </c>
      <c r="AU32">
        <f t="shared" si="9"/>
        <v>0.21850942405693213</v>
      </c>
      <c r="AV32">
        <f t="shared" si="10"/>
        <v>2.0327449099341677</v>
      </c>
      <c r="AW32">
        <f t="shared" si="11"/>
        <v>1.6608545458075752</v>
      </c>
      <c r="AX32">
        <f t="shared" si="12"/>
        <v>1.6468542114972289</v>
      </c>
    </row>
    <row r="33" spans="19:50" x14ac:dyDescent="0.15">
      <c r="S33">
        <v>30</v>
      </c>
      <c r="T33">
        <f t="shared" si="6"/>
        <v>0.82957345247268677</v>
      </c>
      <c r="U33">
        <f t="shared" si="6"/>
        <v>0.4812562072277069</v>
      </c>
      <c r="V33">
        <f t="shared" si="6"/>
        <v>0.48992685055732726</v>
      </c>
      <c r="W33">
        <f t="shared" si="6"/>
        <v>0.48976275010108949</v>
      </c>
      <c r="X33">
        <f t="shared" si="6"/>
        <v>0.50073523001670839</v>
      </c>
      <c r="AF33">
        <v>30</v>
      </c>
      <c r="AG33">
        <f t="shared" si="7"/>
        <v>7.2881422554900488E-2</v>
      </c>
      <c r="AH33">
        <f t="shared" si="7"/>
        <v>0.10900619605846636</v>
      </c>
      <c r="AI33">
        <f t="shared" si="7"/>
        <v>0.10165483197749398</v>
      </c>
      <c r="AJ33">
        <f t="shared" si="7"/>
        <v>0.10092546312580099</v>
      </c>
      <c r="AK33">
        <f t="shared" si="7"/>
        <v>0.10103952927438567</v>
      </c>
      <c r="AT33">
        <v>30</v>
      </c>
      <c r="AU33">
        <f t="shared" si="9"/>
        <v>2.5898810908549197</v>
      </c>
      <c r="AV33">
        <f t="shared" si="10"/>
        <v>1.6286606620087209</v>
      </c>
      <c r="AW33">
        <f t="shared" si="11"/>
        <v>1.5385338184302719</v>
      </c>
      <c r="AX33">
        <f t="shared" si="12"/>
        <v>1.6821668252382624</v>
      </c>
    </row>
    <row r="34" spans="19:50" x14ac:dyDescent="0.15">
      <c r="S34">
        <v>31</v>
      </c>
      <c r="T34">
        <f t="shared" si="6"/>
        <v>0.84653556346893311</v>
      </c>
      <c r="U34">
        <f t="shared" si="6"/>
        <v>0.52103637337684627</v>
      </c>
      <c r="V34">
        <f t="shared" si="6"/>
        <v>0.4875594198703766</v>
      </c>
      <c r="W34">
        <f t="shared" si="6"/>
        <v>0.50122325911521914</v>
      </c>
      <c r="X34">
        <f t="shared" si="6"/>
        <v>0.50196513905525209</v>
      </c>
      <c r="AF34">
        <v>31</v>
      </c>
      <c r="AG34">
        <f t="shared" si="7"/>
        <v>1.9385003823774987E-2</v>
      </c>
      <c r="AH34">
        <f t="shared" si="7"/>
        <v>0.10913217058680601</v>
      </c>
      <c r="AI34">
        <f t="shared" si="7"/>
        <v>0.10185812970871949</v>
      </c>
      <c r="AJ34">
        <f t="shared" si="7"/>
        <v>0.10185511365792206</v>
      </c>
      <c r="AK34">
        <f t="shared" si="7"/>
        <v>0.10030483784280694</v>
      </c>
      <c r="AT34">
        <v>31</v>
      </c>
      <c r="AU34">
        <f t="shared" si="9"/>
        <v>0.43350498451120711</v>
      </c>
      <c r="AV34">
        <f t="shared" si="10"/>
        <v>1.3474106149359821</v>
      </c>
      <c r="AW34">
        <f t="shared" si="11"/>
        <v>1.5841436926879098</v>
      </c>
      <c r="AX34">
        <f t="shared" si="12"/>
        <v>1.6598121134055415</v>
      </c>
    </row>
    <row r="35" spans="19:50" x14ac:dyDescent="0.15">
      <c r="S35">
        <v>32</v>
      </c>
      <c r="T35">
        <f t="shared" si="6"/>
        <v>0.99678534269332886</v>
      </c>
      <c r="U35">
        <f t="shared" si="6"/>
        <v>0.51706171154975888</v>
      </c>
      <c r="V35">
        <f t="shared" si="6"/>
        <v>0.49890151762962343</v>
      </c>
      <c r="W35">
        <f t="shared" si="6"/>
        <v>0.5011058948993683</v>
      </c>
      <c r="X35">
        <f t="shared" si="6"/>
        <v>0.49718264994621275</v>
      </c>
      <c r="AF35">
        <v>32</v>
      </c>
      <c r="AG35">
        <f t="shared" si="7"/>
        <v>0.24252819784390275</v>
      </c>
      <c r="AH35">
        <f t="shared" si="7"/>
        <v>8.3766091008017074E-2</v>
      </c>
      <c r="AI35">
        <f t="shared" si="7"/>
        <v>9.5266232274448831E-2</v>
      </c>
      <c r="AJ35">
        <f t="shared" si="7"/>
        <v>9.9041194087740869E-2</v>
      </c>
      <c r="AK35">
        <f t="shared" si="7"/>
        <v>0.10173965798168107</v>
      </c>
      <c r="AT35">
        <v>32</v>
      </c>
      <c r="AU35">
        <f t="shared" si="9"/>
        <v>0.12448038858969755</v>
      </c>
      <c r="AV35">
        <f t="shared" si="10"/>
        <v>2.021772200080306</v>
      </c>
      <c r="AW35">
        <f t="shared" si="11"/>
        <v>1.5766562218310707</v>
      </c>
      <c r="AX35">
        <f t="shared" si="12"/>
        <v>1.6522571680743443</v>
      </c>
    </row>
    <row r="36" spans="19:50" x14ac:dyDescent="0.15">
      <c r="S36">
        <v>33</v>
      </c>
      <c r="T36">
        <f t="shared" si="6"/>
        <v>0.23237186670303345</v>
      </c>
      <c r="U36">
        <f t="shared" si="6"/>
        <v>0.48261828303337095</v>
      </c>
      <c r="V36">
        <f t="shared" si="6"/>
        <v>0.48152243161201475</v>
      </c>
      <c r="W36">
        <f t="shared" si="6"/>
        <v>0.50028113131523133</v>
      </c>
      <c r="X36">
        <f t="shared" si="6"/>
        <v>0.50233443999290461</v>
      </c>
      <c r="AF36">
        <v>33</v>
      </c>
      <c r="AG36">
        <f t="shared" si="7"/>
        <v>0.15928345236768038</v>
      </c>
      <c r="AH36">
        <f t="shared" si="7"/>
        <v>0.1014278725116773</v>
      </c>
      <c r="AI36">
        <f t="shared" si="7"/>
        <v>9.6039367927747227E-2</v>
      </c>
      <c r="AJ36">
        <f t="shared" si="7"/>
        <v>9.9828799778574354E-2</v>
      </c>
      <c r="AK36">
        <f t="shared" si="7"/>
        <v>0.10025837359268193</v>
      </c>
      <c r="AT36">
        <v>33</v>
      </c>
      <c r="AU36">
        <f t="shared" si="9"/>
        <v>5.382695898523119</v>
      </c>
      <c r="AV36">
        <f t="shared" si="10"/>
        <v>1.5624709931713363</v>
      </c>
      <c r="AW36">
        <f t="shared" si="11"/>
        <v>1.5813376972182192</v>
      </c>
      <c r="AX36">
        <f t="shared" si="12"/>
        <v>1.6016538549415842</v>
      </c>
    </row>
    <row r="37" spans="19:50" x14ac:dyDescent="0.15">
      <c r="S37">
        <v>34</v>
      </c>
      <c r="T37">
        <f t="shared" ref="T37:X52" si="13">MeanOfUniform(T$3)</f>
        <v>0.42083632946014404</v>
      </c>
      <c r="U37">
        <f t="shared" si="13"/>
        <v>0.48624816536903381</v>
      </c>
      <c r="V37">
        <f t="shared" si="13"/>
        <v>0.5070166957378387</v>
      </c>
      <c r="W37">
        <f t="shared" si="13"/>
        <v>0.49380392050743105</v>
      </c>
      <c r="X37">
        <f t="shared" si="13"/>
        <v>0.49784995656013487</v>
      </c>
      <c r="AF37">
        <v>34</v>
      </c>
      <c r="AG37">
        <f t="shared" ref="AG37:AK52" si="14">MeanOfExp(AG$3,10)</f>
        <v>0.26435313534162264</v>
      </c>
      <c r="AH37">
        <f t="shared" si="14"/>
        <v>0.10377590039732149</v>
      </c>
      <c r="AI37">
        <f t="shared" si="14"/>
        <v>0.10493506117298858</v>
      </c>
      <c r="AJ37">
        <f t="shared" si="14"/>
        <v>0.10097299275325548</v>
      </c>
      <c r="AK37">
        <f t="shared" si="14"/>
        <v>0.10016522513366168</v>
      </c>
      <c r="AT37">
        <v>34</v>
      </c>
      <c r="AU37">
        <f t="shared" si="9"/>
        <v>0.83218461369135033</v>
      </c>
      <c r="AV37">
        <f t="shared" si="10"/>
        <v>1.3917966960304795</v>
      </c>
      <c r="AW37">
        <f t="shared" si="11"/>
        <v>1.7825981593181723</v>
      </c>
      <c r="AX37">
        <f t="shared" si="12"/>
        <v>1.6255998418471209</v>
      </c>
    </row>
    <row r="38" spans="19:50" x14ac:dyDescent="0.15">
      <c r="S38">
        <v>35</v>
      </c>
      <c r="T38">
        <f t="shared" si="13"/>
        <v>0.22134894132614136</v>
      </c>
      <c r="U38">
        <f t="shared" si="13"/>
        <v>0.54091361403465266</v>
      </c>
      <c r="V38">
        <f t="shared" si="13"/>
        <v>0.48262100958824156</v>
      </c>
      <c r="W38">
        <f t="shared" si="13"/>
        <v>0.50488490185737611</v>
      </c>
      <c r="X38">
        <f t="shared" si="13"/>
        <v>0.49993203959465027</v>
      </c>
      <c r="AF38">
        <v>35</v>
      </c>
      <c r="AG38">
        <f t="shared" si="14"/>
        <v>5.0578265522759645E-2</v>
      </c>
      <c r="AH38">
        <f t="shared" si="14"/>
        <v>0.10817455295524386</v>
      </c>
      <c r="AI38">
        <f t="shared" si="14"/>
        <v>0.10282366527660899</v>
      </c>
      <c r="AJ38">
        <f t="shared" si="14"/>
        <v>0.10129295519910425</v>
      </c>
      <c r="AK38">
        <f t="shared" si="14"/>
        <v>9.9590922699202666E-2</v>
      </c>
      <c r="AT38">
        <v>35</v>
      </c>
      <c r="AU38">
        <f t="shared" si="9"/>
        <v>2.9164012202121672</v>
      </c>
      <c r="AV38">
        <f t="shared" si="10"/>
        <v>1.7584956480444984</v>
      </c>
      <c r="AW38">
        <f t="shared" si="11"/>
        <v>1.6982959679548204</v>
      </c>
      <c r="AX38">
        <f t="shared" si="12"/>
        <v>1.6545681150803331</v>
      </c>
    </row>
    <row r="39" spans="19:50" x14ac:dyDescent="0.15">
      <c r="S39">
        <v>36</v>
      </c>
      <c r="T39">
        <f t="shared" si="13"/>
        <v>0.30953097343444824</v>
      </c>
      <c r="U39">
        <f t="shared" si="13"/>
        <v>0.55902522921562192</v>
      </c>
      <c r="V39">
        <f t="shared" si="13"/>
        <v>0.5036691143512726</v>
      </c>
      <c r="W39">
        <f t="shared" si="13"/>
        <v>0.50334888033866887</v>
      </c>
      <c r="X39">
        <f t="shared" si="13"/>
        <v>0.49876958794593812</v>
      </c>
      <c r="AF39">
        <v>36</v>
      </c>
      <c r="AG39">
        <f t="shared" si="14"/>
        <v>6.1519236823086992E-3</v>
      </c>
      <c r="AH39">
        <f t="shared" si="14"/>
        <v>8.6200826150450174E-2</v>
      </c>
      <c r="AI39">
        <f t="shared" si="14"/>
        <v>0.10103952571053411</v>
      </c>
      <c r="AJ39">
        <f t="shared" si="14"/>
        <v>9.85251287128492E-2</v>
      </c>
      <c r="AK39">
        <f t="shared" si="14"/>
        <v>0.10036050963878528</v>
      </c>
      <c r="AT39">
        <v>36</v>
      </c>
      <c r="AU39">
        <f t="shared" si="9"/>
        <v>5.2706479832498383</v>
      </c>
      <c r="AV39">
        <f t="shared" si="10"/>
        <v>1.3946078655248721</v>
      </c>
      <c r="AW39">
        <f t="shared" si="11"/>
        <v>1.6045718199193606</v>
      </c>
      <c r="AX39">
        <f t="shared" si="12"/>
        <v>1.641192985868801</v>
      </c>
    </row>
    <row r="40" spans="19:50" x14ac:dyDescent="0.15">
      <c r="S40">
        <v>37</v>
      </c>
      <c r="T40">
        <f t="shared" si="13"/>
        <v>0.22857534885406494</v>
      </c>
      <c r="U40">
        <f t="shared" si="13"/>
        <v>0.48054389595985414</v>
      </c>
      <c r="V40">
        <f t="shared" si="13"/>
        <v>0.50561178851127619</v>
      </c>
      <c r="W40">
        <f t="shared" si="13"/>
        <v>0.50398823990821839</v>
      </c>
      <c r="X40">
        <f t="shared" si="13"/>
        <v>0.50249075741767879</v>
      </c>
      <c r="AF40">
        <v>37</v>
      </c>
      <c r="AG40">
        <f t="shared" si="14"/>
        <v>9.1912707380439815E-2</v>
      </c>
      <c r="AH40">
        <f t="shared" si="14"/>
        <v>8.5143942870004569E-2</v>
      </c>
      <c r="AI40">
        <f t="shared" si="14"/>
        <v>9.8128852623237922E-2</v>
      </c>
      <c r="AJ40">
        <f t="shared" si="14"/>
        <v>0.10029654429450242</v>
      </c>
      <c r="AK40">
        <f t="shared" si="14"/>
        <v>9.9329005030424952E-2</v>
      </c>
      <c r="AT40">
        <v>37</v>
      </c>
      <c r="AU40">
        <f t="shared" si="9"/>
        <v>1.6870854792570915</v>
      </c>
      <c r="AV40">
        <f t="shared" si="10"/>
        <v>1.2608135708003163</v>
      </c>
      <c r="AW40">
        <f t="shared" si="11"/>
        <v>1.6595583332536263</v>
      </c>
      <c r="AX40">
        <f t="shared" si="12"/>
        <v>1.6786699533433505</v>
      </c>
    </row>
    <row r="41" spans="19:50" x14ac:dyDescent="0.15">
      <c r="S41">
        <v>38</v>
      </c>
      <c r="T41">
        <f t="shared" si="13"/>
        <v>0.15278929471969604</v>
      </c>
      <c r="U41">
        <f t="shared" si="13"/>
        <v>0.5180272614955902</v>
      </c>
      <c r="V41">
        <f t="shared" si="13"/>
        <v>0.50415156006813044</v>
      </c>
      <c r="W41">
        <f t="shared" si="13"/>
        <v>0.49687085041999818</v>
      </c>
      <c r="X41">
        <f t="shared" si="13"/>
        <v>0.50084694743156433</v>
      </c>
      <c r="AF41">
        <v>38</v>
      </c>
      <c r="AG41">
        <f t="shared" si="14"/>
        <v>0.30870153386295673</v>
      </c>
      <c r="AH41">
        <f t="shared" si="14"/>
        <v>9.4349739281691769E-2</v>
      </c>
      <c r="AI41">
        <f t="shared" si="14"/>
        <v>0.10271514356756867</v>
      </c>
      <c r="AJ41">
        <f t="shared" si="14"/>
        <v>0.1002201083393181</v>
      </c>
      <c r="AK41">
        <f t="shared" si="14"/>
        <v>0.10137200577879883</v>
      </c>
      <c r="AT41">
        <v>38</v>
      </c>
      <c r="AU41">
        <f t="shared" si="9"/>
        <v>2.3586385199026974</v>
      </c>
      <c r="AV41">
        <f t="shared" si="10"/>
        <v>1.4840252248030634</v>
      </c>
      <c r="AW41">
        <f t="shared" si="11"/>
        <v>1.5755046221196747</v>
      </c>
      <c r="AX41">
        <f t="shared" si="12"/>
        <v>1.6547473459956199</v>
      </c>
    </row>
    <row r="42" spans="19:50" x14ac:dyDescent="0.15">
      <c r="S42">
        <v>39</v>
      </c>
      <c r="T42">
        <f t="shared" si="13"/>
        <v>0.86691927909851074</v>
      </c>
      <c r="U42">
        <f t="shared" si="13"/>
        <v>0.45848814129829407</v>
      </c>
      <c r="V42">
        <f t="shared" si="13"/>
        <v>0.51588437199592585</v>
      </c>
      <c r="W42">
        <f t="shared" si="13"/>
        <v>0.49636286044120786</v>
      </c>
      <c r="X42">
        <f t="shared" si="13"/>
        <v>0.49957747368812561</v>
      </c>
      <c r="AF42">
        <v>39</v>
      </c>
      <c r="AG42">
        <f t="shared" si="14"/>
        <v>6.5654968046549259E-2</v>
      </c>
      <c r="AH42">
        <f t="shared" si="14"/>
        <v>9.8639027502875967E-2</v>
      </c>
      <c r="AI42">
        <f t="shared" si="14"/>
        <v>0.10263822388451571</v>
      </c>
      <c r="AJ42">
        <f t="shared" si="14"/>
        <v>9.6621759681426944E-2</v>
      </c>
      <c r="AK42">
        <f t="shared" si="14"/>
        <v>0.10060334795814059</v>
      </c>
      <c r="AT42">
        <v>39</v>
      </c>
      <c r="AU42">
        <f t="shared" si="9"/>
        <v>0.32711758829541004</v>
      </c>
      <c r="AV42">
        <f t="shared" si="10"/>
        <v>1.7964561828305057</v>
      </c>
      <c r="AW42">
        <f t="shared" si="11"/>
        <v>1.7680959097859272</v>
      </c>
      <c r="AX42">
        <f t="shared" si="12"/>
        <v>1.6461230941809215</v>
      </c>
    </row>
    <row r="43" spans="19:50" x14ac:dyDescent="0.15">
      <c r="S43">
        <v>40</v>
      </c>
      <c r="T43">
        <f t="shared" si="13"/>
        <v>0.69684082269668579</v>
      </c>
      <c r="U43">
        <f t="shared" si="13"/>
        <v>0.48125599503517152</v>
      </c>
      <c r="V43">
        <f t="shared" si="13"/>
        <v>0.49479539752006529</v>
      </c>
      <c r="W43">
        <f t="shared" si="13"/>
        <v>0.50256292252540591</v>
      </c>
      <c r="X43">
        <f t="shared" si="13"/>
        <v>0.50078979430198667</v>
      </c>
      <c r="AF43">
        <v>40</v>
      </c>
      <c r="AG43">
        <f t="shared" si="14"/>
        <v>3.6594008493772202E-3</v>
      </c>
      <c r="AH43">
        <f t="shared" si="14"/>
        <v>9.0388548305714828E-2</v>
      </c>
      <c r="AI43">
        <f t="shared" si="14"/>
        <v>9.6593834927838199E-2</v>
      </c>
      <c r="AJ43">
        <f t="shared" si="14"/>
        <v>0.10307171253043118</v>
      </c>
      <c r="AK43">
        <f t="shared" si="14"/>
        <v>0.1005670067438043</v>
      </c>
      <c r="AT43">
        <v>40</v>
      </c>
      <c r="AU43">
        <f t="shared" si="9"/>
        <v>0.36972922751283827</v>
      </c>
      <c r="AV43">
        <f t="shared" si="10"/>
        <v>1.8279248762353268</v>
      </c>
      <c r="AW43">
        <f t="shared" si="11"/>
        <v>1.5260445450646967</v>
      </c>
      <c r="AX43">
        <f t="shared" si="12"/>
        <v>1.6636933151806825</v>
      </c>
    </row>
    <row r="44" spans="19:50" x14ac:dyDescent="0.15">
      <c r="S44">
        <v>41</v>
      </c>
      <c r="T44">
        <f t="shared" si="13"/>
        <v>0.89752382040023804</v>
      </c>
      <c r="U44">
        <f t="shared" si="13"/>
        <v>0.4859951722621918</v>
      </c>
      <c r="V44">
        <f t="shared" si="13"/>
        <v>0.49271296143531801</v>
      </c>
      <c r="W44">
        <f t="shared" si="13"/>
        <v>0.49269396719932557</v>
      </c>
      <c r="X44">
        <f t="shared" si="13"/>
        <v>0.50413876910209654</v>
      </c>
      <c r="AF44">
        <v>41</v>
      </c>
      <c r="AG44">
        <f t="shared" si="14"/>
        <v>0.14901057207926846</v>
      </c>
      <c r="AH44">
        <f t="shared" si="14"/>
        <v>8.5465971603388216E-2</v>
      </c>
      <c r="AI44">
        <f t="shared" si="14"/>
        <v>9.9304403696016869E-2</v>
      </c>
      <c r="AJ44">
        <f t="shared" si="14"/>
        <v>0.10032166513476506</v>
      </c>
      <c r="AK44">
        <f t="shared" si="14"/>
        <v>9.9194775038262517E-2</v>
      </c>
      <c r="AT44">
        <v>41</v>
      </c>
      <c r="AU44">
        <f t="shared" si="9"/>
        <v>0.48337133647317398</v>
      </c>
      <c r="AV44">
        <f t="shared" si="10"/>
        <v>1.3880817154272691</v>
      </c>
      <c r="AW44">
        <f t="shared" si="11"/>
        <v>1.7063503334636874</v>
      </c>
      <c r="AX44">
        <f t="shared" si="12"/>
        <v>1.6363967607659304</v>
      </c>
    </row>
    <row r="45" spans="19:50" x14ac:dyDescent="0.15">
      <c r="S45">
        <v>42</v>
      </c>
      <c r="T45">
        <f t="shared" si="13"/>
        <v>0.15974116325378418</v>
      </c>
      <c r="U45">
        <f t="shared" si="13"/>
        <v>0.49682981610298155</v>
      </c>
      <c r="V45">
        <f t="shared" si="13"/>
        <v>0.49900993323326109</v>
      </c>
      <c r="W45">
        <f t="shared" si="13"/>
        <v>0.50169487376213073</v>
      </c>
      <c r="X45">
        <f t="shared" si="13"/>
        <v>0.50151861443519596</v>
      </c>
      <c r="AF45">
        <v>42</v>
      </c>
      <c r="AG45">
        <f t="shared" si="14"/>
        <v>0.26865325087371733</v>
      </c>
      <c r="AH45">
        <f t="shared" si="14"/>
        <v>9.1040141404470698E-2</v>
      </c>
      <c r="AI45">
        <f t="shared" si="14"/>
        <v>9.4389783907126046E-2</v>
      </c>
      <c r="AJ45">
        <f t="shared" si="14"/>
        <v>9.9595622170785797E-2</v>
      </c>
      <c r="AK45">
        <f t="shared" si="14"/>
        <v>0.10023128153722327</v>
      </c>
      <c r="AT45">
        <v>42</v>
      </c>
      <c r="AU45">
        <f t="shared" si="9"/>
        <v>7.3429923771137524</v>
      </c>
      <c r="AV45">
        <f t="shared" si="10"/>
        <v>1.5502565922195024</v>
      </c>
      <c r="AW45">
        <f t="shared" si="11"/>
        <v>1.6704948322046675</v>
      </c>
      <c r="AX45">
        <f t="shared" si="12"/>
        <v>1.6579374026876998</v>
      </c>
    </row>
    <row r="46" spans="19:50" x14ac:dyDescent="0.15">
      <c r="S46">
        <v>43</v>
      </c>
      <c r="T46">
        <f t="shared" si="13"/>
        <v>0.46913391351699829</v>
      </c>
      <c r="U46">
        <f t="shared" si="13"/>
        <v>0.49823013186454773</v>
      </c>
      <c r="V46">
        <f t="shared" si="13"/>
        <v>0.51699973750114436</v>
      </c>
      <c r="W46">
        <f t="shared" si="13"/>
        <v>0.49664004960060121</v>
      </c>
      <c r="X46">
        <f t="shared" si="13"/>
        <v>0.5013339105129242</v>
      </c>
      <c r="AF46">
        <v>43</v>
      </c>
      <c r="AG46">
        <f t="shared" si="14"/>
        <v>1.5865236483543814E-2</v>
      </c>
      <c r="AH46">
        <f t="shared" si="14"/>
        <v>9.7320408317711549E-2</v>
      </c>
      <c r="AI46">
        <f t="shared" si="14"/>
        <v>9.4627646176033836E-2</v>
      </c>
      <c r="AJ46">
        <f t="shared" si="14"/>
        <v>9.9853819823363471E-2</v>
      </c>
      <c r="AK46">
        <f t="shared" si="14"/>
        <v>0.10041064934870572</v>
      </c>
      <c r="AT46">
        <v>43</v>
      </c>
      <c r="AU46">
        <f t="shared" si="9"/>
        <v>1.1082454436847005</v>
      </c>
      <c r="AV46">
        <f t="shared" si="10"/>
        <v>1.5629646558442014</v>
      </c>
      <c r="AW46">
        <f t="shared" si="11"/>
        <v>1.6819137111102944</v>
      </c>
      <c r="AX46">
        <f t="shared" si="12"/>
        <v>1.6229516880828296</v>
      </c>
    </row>
    <row r="47" spans="19:50" x14ac:dyDescent="0.15">
      <c r="S47">
        <v>44</v>
      </c>
      <c r="T47">
        <f t="shared" si="13"/>
        <v>0.16365206241607666</v>
      </c>
      <c r="U47">
        <f t="shared" si="13"/>
        <v>0.49079407095909117</v>
      </c>
      <c r="V47">
        <f t="shared" si="13"/>
        <v>0.50669448304176334</v>
      </c>
      <c r="W47">
        <f t="shared" si="13"/>
        <v>0.49344706778526304</v>
      </c>
      <c r="X47">
        <f t="shared" si="13"/>
        <v>0.49916645474433902</v>
      </c>
      <c r="AF47">
        <v>44</v>
      </c>
      <c r="AG47">
        <f t="shared" si="14"/>
        <v>8.4286728294861585E-2</v>
      </c>
      <c r="AH47">
        <f t="shared" si="14"/>
        <v>8.3187581091009835E-2</v>
      </c>
      <c r="AI47">
        <f t="shared" si="14"/>
        <v>0.10052297160454639</v>
      </c>
      <c r="AJ47">
        <f t="shared" si="14"/>
        <v>0.10102310781113495</v>
      </c>
      <c r="AK47">
        <f t="shared" si="14"/>
        <v>0.10197127119747065</v>
      </c>
      <c r="AT47">
        <v>44</v>
      </c>
      <c r="AU47">
        <f t="shared" si="9"/>
        <v>0.78571804131341216</v>
      </c>
      <c r="AV47">
        <f t="shared" si="10"/>
        <v>1.3387589014617265</v>
      </c>
      <c r="AW47">
        <f t="shared" si="11"/>
        <v>1.6235939975145097</v>
      </c>
      <c r="AX47">
        <f t="shared" si="12"/>
        <v>1.6420447534381328</v>
      </c>
    </row>
    <row r="48" spans="19:50" x14ac:dyDescent="0.15">
      <c r="S48">
        <v>45</v>
      </c>
      <c r="T48">
        <f t="shared" si="13"/>
        <v>0.28763437271118164</v>
      </c>
      <c r="U48">
        <f t="shared" si="13"/>
        <v>0.51442815899848937</v>
      </c>
      <c r="V48">
        <f t="shared" si="13"/>
        <v>0.49824662756919863</v>
      </c>
      <c r="W48">
        <f t="shared" si="13"/>
        <v>0.49514032216072085</v>
      </c>
      <c r="X48">
        <f t="shared" si="13"/>
        <v>0.50373712220191957</v>
      </c>
      <c r="AF48">
        <v>45</v>
      </c>
      <c r="AG48">
        <f t="shared" si="14"/>
        <v>8.7843624985174798E-2</v>
      </c>
      <c r="AH48">
        <f t="shared" si="14"/>
        <v>0.11658917117069349</v>
      </c>
      <c r="AI48">
        <f t="shared" si="14"/>
        <v>9.7689671817749249E-2</v>
      </c>
      <c r="AJ48">
        <f t="shared" si="14"/>
        <v>0.10165675614340255</v>
      </c>
      <c r="AK48">
        <f t="shared" si="14"/>
        <v>9.9866142653593504E-2</v>
      </c>
      <c r="AT48">
        <v>45</v>
      </c>
      <c r="AU48">
        <f t="shared" si="9"/>
        <v>0.65000628000802285</v>
      </c>
      <c r="AV48">
        <f t="shared" si="10"/>
        <v>1.4065954233233438</v>
      </c>
      <c r="AW48">
        <f t="shared" si="11"/>
        <v>1.6861563173306802</v>
      </c>
      <c r="AX48">
        <f t="shared" si="12"/>
        <v>1.6391436219932911</v>
      </c>
    </row>
    <row r="49" spans="19:50" x14ac:dyDescent="0.15">
      <c r="S49">
        <v>46</v>
      </c>
      <c r="T49">
        <f t="shared" si="13"/>
        <v>0.29103142023086548</v>
      </c>
      <c r="U49">
        <f t="shared" si="13"/>
        <v>0.51130569338798526</v>
      </c>
      <c r="V49">
        <f t="shared" si="13"/>
        <v>0.49937635350227355</v>
      </c>
      <c r="W49">
        <f t="shared" si="13"/>
        <v>0.50355678124427794</v>
      </c>
      <c r="X49">
        <f t="shared" si="13"/>
        <v>0.50013512206077571</v>
      </c>
      <c r="AF49">
        <v>46</v>
      </c>
      <c r="AG49">
        <f t="shared" si="14"/>
        <v>8.183190973561523E-2</v>
      </c>
      <c r="AH49">
        <f t="shared" si="14"/>
        <v>8.7309301859273741E-2</v>
      </c>
      <c r="AI49">
        <f t="shared" si="14"/>
        <v>0.10286375551784231</v>
      </c>
      <c r="AJ49">
        <f t="shared" si="14"/>
        <v>9.8916903018099633E-2</v>
      </c>
      <c r="AK49">
        <f t="shared" si="14"/>
        <v>0.10013411318628823</v>
      </c>
      <c r="AT49">
        <v>46</v>
      </c>
      <c r="AU49">
        <f t="shared" si="9"/>
        <v>0.82798653949250056</v>
      </c>
      <c r="AV49">
        <f t="shared" si="10"/>
        <v>1.7196788609054303</v>
      </c>
      <c r="AW49">
        <f t="shared" si="11"/>
        <v>1.6650988328145446</v>
      </c>
      <c r="AX49">
        <f t="shared" si="12"/>
        <v>1.6891145503342559</v>
      </c>
    </row>
    <row r="50" spans="19:50" x14ac:dyDescent="0.15">
      <c r="S50">
        <v>47</v>
      </c>
      <c r="T50">
        <f t="shared" si="13"/>
        <v>1.437532901763916E-2</v>
      </c>
      <c r="U50">
        <f t="shared" si="13"/>
        <v>0.50030052781105039</v>
      </c>
      <c r="V50">
        <f t="shared" si="13"/>
        <v>0.48505175423622132</v>
      </c>
      <c r="W50">
        <f t="shared" si="13"/>
        <v>0.5011313359737396</v>
      </c>
      <c r="X50">
        <f t="shared" si="13"/>
        <v>0.49601047329902648</v>
      </c>
      <c r="AF50">
        <v>47</v>
      </c>
      <c r="AG50">
        <f t="shared" si="14"/>
        <v>1.6998981658217109E-2</v>
      </c>
      <c r="AH50">
        <f t="shared" si="14"/>
        <v>9.6211388237503387E-2</v>
      </c>
      <c r="AI50">
        <f t="shared" si="14"/>
        <v>9.5757611773630472E-2</v>
      </c>
      <c r="AJ50">
        <f t="shared" si="14"/>
        <v>9.8617553693034543E-2</v>
      </c>
      <c r="AK50">
        <f t="shared" si="14"/>
        <v>9.9857089715822758E-2</v>
      </c>
      <c r="AT50">
        <v>47</v>
      </c>
      <c r="AU50">
        <f t="shared" si="9"/>
        <v>0.4376304331544274</v>
      </c>
      <c r="AV50">
        <f t="shared" si="10"/>
        <v>1.8286585378650424</v>
      </c>
      <c r="AW50">
        <f t="shared" si="11"/>
        <v>1.4861770772629792</v>
      </c>
      <c r="AX50">
        <f t="shared" si="12"/>
        <v>1.6655723539068148</v>
      </c>
    </row>
    <row r="51" spans="19:50" x14ac:dyDescent="0.15">
      <c r="S51">
        <v>48</v>
      </c>
      <c r="T51">
        <f t="shared" si="13"/>
        <v>0.60141080617904663</v>
      </c>
      <c r="U51">
        <f t="shared" si="13"/>
        <v>0.47637248158454892</v>
      </c>
      <c r="V51">
        <f t="shared" si="13"/>
        <v>0.50853411841392515</v>
      </c>
      <c r="W51">
        <f t="shared" si="13"/>
        <v>0.50580426259040834</v>
      </c>
      <c r="X51">
        <f t="shared" si="13"/>
        <v>0.49854313464164735</v>
      </c>
      <c r="AA51">
        <v>10</v>
      </c>
      <c r="AB51">
        <v>100</v>
      </c>
      <c r="AC51">
        <v>1000</v>
      </c>
      <c r="AD51">
        <v>5000</v>
      </c>
      <c r="AF51">
        <v>48</v>
      </c>
      <c r="AG51">
        <f t="shared" si="14"/>
        <v>2.1850477735911516E-2</v>
      </c>
      <c r="AH51">
        <f t="shared" si="14"/>
        <v>0.10616927623305186</v>
      </c>
      <c r="AI51">
        <f t="shared" si="14"/>
        <v>9.8502421796239165E-2</v>
      </c>
      <c r="AJ51">
        <f t="shared" si="14"/>
        <v>0.10087269474044135</v>
      </c>
      <c r="AK51">
        <f t="shared" si="14"/>
        <v>9.8855134583417686E-2</v>
      </c>
      <c r="AN51">
        <v>10</v>
      </c>
      <c r="AO51">
        <v>100</v>
      </c>
      <c r="AP51">
        <v>1000</v>
      </c>
      <c r="AQ51">
        <v>5000</v>
      </c>
      <c r="AT51">
        <v>48</v>
      </c>
      <c r="AU51">
        <f t="shared" si="9"/>
        <v>1.4328663343564332</v>
      </c>
      <c r="AV51">
        <f t="shared" si="10"/>
        <v>1.5850261638402814</v>
      </c>
      <c r="AW51">
        <f t="shared" si="11"/>
        <v>1.6091519938878132</v>
      </c>
      <c r="AX51">
        <f t="shared" si="12"/>
        <v>1.6536542344851739</v>
      </c>
    </row>
    <row r="52" spans="19:50" x14ac:dyDescent="0.15">
      <c r="S52">
        <v>49</v>
      </c>
      <c r="T52">
        <f t="shared" si="13"/>
        <v>0.25921756029129028</v>
      </c>
      <c r="U52">
        <f t="shared" si="13"/>
        <v>0.48465385317802429</v>
      </c>
      <c r="V52">
        <f t="shared" si="13"/>
        <v>0.49020826268196105</v>
      </c>
      <c r="W52">
        <f t="shared" si="13"/>
        <v>0.495769673871994</v>
      </c>
      <c r="X52">
        <f t="shared" si="13"/>
        <v>0.49922622046470644</v>
      </c>
      <c r="AF52">
        <v>49</v>
      </c>
      <c r="AG52">
        <f t="shared" si="14"/>
        <v>2.6493318364635948E-2</v>
      </c>
      <c r="AH52">
        <f t="shared" si="14"/>
        <v>0.1012003129473598</v>
      </c>
      <c r="AI52">
        <f t="shared" si="14"/>
        <v>0.10190731438711882</v>
      </c>
      <c r="AJ52">
        <f t="shared" si="14"/>
        <v>0.10075040366160658</v>
      </c>
      <c r="AK52">
        <f t="shared" si="14"/>
        <v>0.10099300848741344</v>
      </c>
      <c r="AT52">
        <v>49</v>
      </c>
      <c r="AU52">
        <f t="shared" si="9"/>
        <v>0.42887116170350909</v>
      </c>
      <c r="AV52">
        <f t="shared" si="10"/>
        <v>1.3827391803476348</v>
      </c>
      <c r="AW52">
        <f t="shared" si="11"/>
        <v>1.598964945819642</v>
      </c>
      <c r="AX52">
        <f t="shared" si="12"/>
        <v>1.5814600565100689</v>
      </c>
    </row>
    <row r="53" spans="19:50" x14ac:dyDescent="0.15">
      <c r="S53">
        <v>50</v>
      </c>
      <c r="T53">
        <f t="shared" ref="T53:X68" si="15">MeanOfUniform(T$3)</f>
        <v>0.3112407922744751</v>
      </c>
      <c r="U53">
        <f t="shared" si="15"/>
        <v>0.45001427292823792</v>
      </c>
      <c r="V53">
        <f t="shared" si="15"/>
        <v>0.49922771143913269</v>
      </c>
      <c r="W53">
        <f t="shared" si="15"/>
        <v>0.50092488188743589</v>
      </c>
      <c r="X53">
        <f t="shared" si="15"/>
        <v>0.49790657010078432</v>
      </c>
      <c r="AF53">
        <v>50</v>
      </c>
      <c r="AG53">
        <f t="shared" ref="AG53:AK68" si="16">MeanOfExp(AG$3,10)</f>
        <v>1.0368368070792182E-2</v>
      </c>
      <c r="AH53">
        <f t="shared" si="16"/>
        <v>8.948879225502368E-2</v>
      </c>
      <c r="AI53">
        <f t="shared" si="16"/>
        <v>0.10243933975413179</v>
      </c>
      <c r="AJ53">
        <f t="shared" si="16"/>
        <v>9.8746472316830841E-2</v>
      </c>
      <c r="AK53">
        <f t="shared" si="16"/>
        <v>0.10026085668839464</v>
      </c>
      <c r="AT53">
        <v>50</v>
      </c>
      <c r="AU53">
        <f t="shared" si="9"/>
        <v>0.70199484314664296</v>
      </c>
      <c r="AV53">
        <f t="shared" si="10"/>
        <v>2.1219069009346727</v>
      </c>
      <c r="AW53">
        <f t="shared" si="11"/>
        <v>1.580777445608883</v>
      </c>
      <c r="AX53">
        <f t="shared" si="12"/>
        <v>1.6552639594927139</v>
      </c>
    </row>
    <row r="54" spans="19:50" x14ac:dyDescent="0.15">
      <c r="S54">
        <v>51</v>
      </c>
      <c r="T54">
        <f t="shared" si="15"/>
        <v>0.11381620168685913</v>
      </c>
      <c r="U54">
        <f t="shared" si="15"/>
        <v>0.50439808249473572</v>
      </c>
      <c r="V54">
        <f t="shared" si="15"/>
        <v>0.50497489333152767</v>
      </c>
      <c r="W54">
        <f t="shared" si="15"/>
        <v>0.50123126759529113</v>
      </c>
      <c r="X54">
        <f t="shared" si="15"/>
        <v>0.50248041491508488</v>
      </c>
      <c r="AF54">
        <v>51</v>
      </c>
      <c r="AG54">
        <f t="shared" si="16"/>
        <v>0.15021534822192864</v>
      </c>
      <c r="AH54">
        <f t="shared" si="16"/>
        <v>8.9076855768143642E-2</v>
      </c>
      <c r="AI54">
        <f t="shared" si="16"/>
        <v>9.8542571266120316E-2</v>
      </c>
      <c r="AJ54">
        <f t="shared" si="16"/>
        <v>9.9792390644408951E-2</v>
      </c>
      <c r="AK54">
        <f t="shared" si="16"/>
        <v>0.10076252415409136</v>
      </c>
      <c r="AT54">
        <v>51</v>
      </c>
      <c r="AU54">
        <f t="shared" si="9"/>
        <v>0.18757134816775239</v>
      </c>
      <c r="AV54">
        <f t="shared" si="10"/>
        <v>1.6380606199562717</v>
      </c>
      <c r="AW54">
        <f t="shared" si="11"/>
        <v>1.7420440498774732</v>
      </c>
      <c r="AX54">
        <f t="shared" si="12"/>
        <v>1.6514281575345664</v>
      </c>
    </row>
    <row r="55" spans="19:50" x14ac:dyDescent="0.15">
      <c r="S55">
        <v>52</v>
      </c>
      <c r="T55">
        <f t="shared" si="15"/>
        <v>0.52380514144897461</v>
      </c>
      <c r="U55">
        <f t="shared" si="15"/>
        <v>0.46541367411613466</v>
      </c>
      <c r="V55">
        <f t="shared" si="15"/>
        <v>0.50685763096809389</v>
      </c>
      <c r="W55">
        <f t="shared" si="15"/>
        <v>0.50008156352043154</v>
      </c>
      <c r="X55">
        <f t="shared" si="15"/>
        <v>0.50204459443092342</v>
      </c>
      <c r="AF55">
        <v>52</v>
      </c>
      <c r="AG55">
        <f t="shared" si="16"/>
        <v>2.9058951801610871E-2</v>
      </c>
      <c r="AH55">
        <f t="shared" si="16"/>
        <v>9.3453024274407395E-2</v>
      </c>
      <c r="AI55">
        <f t="shared" si="16"/>
        <v>0.10416174985501134</v>
      </c>
      <c r="AJ55">
        <f t="shared" si="16"/>
        <v>0.10115152202846001</v>
      </c>
      <c r="AK55">
        <f t="shared" si="16"/>
        <v>9.9794340405295653E-2</v>
      </c>
      <c r="AT55">
        <v>52</v>
      </c>
      <c r="AU55">
        <f t="shared" si="9"/>
        <v>0.78479125502934488</v>
      </c>
      <c r="AV55">
        <f t="shared" si="10"/>
        <v>1.9257384211006601</v>
      </c>
      <c r="AW55">
        <f t="shared" si="11"/>
        <v>1.6891271149590472</v>
      </c>
      <c r="AX55">
        <f t="shared" si="12"/>
        <v>1.655355455263624</v>
      </c>
    </row>
    <row r="56" spans="19:50" x14ac:dyDescent="0.15">
      <c r="S56">
        <v>53</v>
      </c>
      <c r="T56">
        <f t="shared" si="15"/>
        <v>2.1357893943786621E-2</v>
      </c>
      <c r="U56">
        <f t="shared" si="15"/>
        <v>0.54634979844093323</v>
      </c>
      <c r="V56">
        <f t="shared" si="15"/>
        <v>0.49412944483757021</v>
      </c>
      <c r="W56">
        <f t="shared" si="15"/>
        <v>0.50392423882484438</v>
      </c>
      <c r="X56">
        <f t="shared" si="15"/>
        <v>0.5019626724720001</v>
      </c>
      <c r="AF56">
        <v>53</v>
      </c>
      <c r="AG56">
        <f t="shared" si="16"/>
        <v>0.10996446373624072</v>
      </c>
      <c r="AH56">
        <f t="shared" si="16"/>
        <v>0.10406198983651305</v>
      </c>
      <c r="AI56">
        <f t="shared" si="16"/>
        <v>0.10286962125912918</v>
      </c>
      <c r="AJ56">
        <f t="shared" si="16"/>
        <v>0.1019988318495947</v>
      </c>
      <c r="AK56">
        <f t="shared" si="16"/>
        <v>0.10143390660834953</v>
      </c>
      <c r="AT56">
        <v>53</v>
      </c>
      <c r="AU56">
        <f t="shared" si="9"/>
        <v>0.55912139215488366</v>
      </c>
      <c r="AV56">
        <f t="shared" si="10"/>
        <v>1.4319493991973138</v>
      </c>
      <c r="AW56">
        <f t="shared" si="11"/>
        <v>1.6812468162078944</v>
      </c>
      <c r="AX56">
        <f t="shared" si="12"/>
        <v>1.6213410471395957</v>
      </c>
    </row>
    <row r="57" spans="19:50" x14ac:dyDescent="0.15">
      <c r="S57">
        <v>54</v>
      </c>
      <c r="T57">
        <f t="shared" si="15"/>
        <v>2.7220666408538818E-2</v>
      </c>
      <c r="U57">
        <f t="shared" si="15"/>
        <v>0.48214649558067324</v>
      </c>
      <c r="V57">
        <f t="shared" si="15"/>
        <v>0.50018820595741276</v>
      </c>
      <c r="W57">
        <f t="shared" si="15"/>
        <v>0.49038124814033507</v>
      </c>
      <c r="X57">
        <f t="shared" si="15"/>
        <v>0.4988735942363739</v>
      </c>
      <c r="AF57">
        <v>54</v>
      </c>
      <c r="AG57">
        <f t="shared" si="16"/>
        <v>0.11740679584319884</v>
      </c>
      <c r="AH57">
        <f t="shared" si="16"/>
        <v>0.10248763373211524</v>
      </c>
      <c r="AI57">
        <f t="shared" si="16"/>
        <v>9.8455114259693513E-2</v>
      </c>
      <c r="AJ57">
        <f t="shared" si="16"/>
        <v>9.962106059009633E-2</v>
      </c>
      <c r="AK57">
        <f t="shared" si="16"/>
        <v>9.8207459059694385E-2</v>
      </c>
      <c r="AT57">
        <v>54</v>
      </c>
      <c r="AU57">
        <f t="shared" si="9"/>
        <v>0.50336962600173529</v>
      </c>
      <c r="AV57">
        <f t="shared" si="10"/>
        <v>1.4179974939702742</v>
      </c>
      <c r="AW57">
        <f t="shared" si="11"/>
        <v>1.5605181781031057</v>
      </c>
      <c r="AX57">
        <f t="shared" si="12"/>
        <v>1.6389766041377443</v>
      </c>
    </row>
    <row r="58" spans="19:50" x14ac:dyDescent="0.15">
      <c r="S58">
        <v>55</v>
      </c>
      <c r="T58">
        <f t="shared" si="15"/>
        <v>0.94227743148803711</v>
      </c>
      <c r="U58">
        <f t="shared" si="15"/>
        <v>0.50270552754402165</v>
      </c>
      <c r="V58">
        <f t="shared" si="15"/>
        <v>0.48771641278266908</v>
      </c>
      <c r="W58">
        <f t="shared" si="15"/>
        <v>0.50240740885734558</v>
      </c>
      <c r="X58">
        <f t="shared" si="15"/>
        <v>0.50311693329811091</v>
      </c>
      <c r="AF58">
        <v>55</v>
      </c>
      <c r="AG58">
        <f t="shared" si="16"/>
        <v>0.1139294244430769</v>
      </c>
      <c r="AH58">
        <f t="shared" si="16"/>
        <v>0.10114946594770764</v>
      </c>
      <c r="AI58">
        <f t="shared" si="16"/>
        <v>0.10129614476607825</v>
      </c>
      <c r="AJ58">
        <f t="shared" si="16"/>
        <v>9.8907496752940902E-2</v>
      </c>
      <c r="AK58">
        <f t="shared" si="16"/>
        <v>9.8998050060083831E-2</v>
      </c>
      <c r="AT58">
        <v>55</v>
      </c>
      <c r="AU58">
        <f t="shared" si="9"/>
        <v>0.51465427059618596</v>
      </c>
      <c r="AV58">
        <f t="shared" si="10"/>
        <v>1.3515235336752942</v>
      </c>
      <c r="AW58">
        <f t="shared" si="11"/>
        <v>1.6722344964376574</v>
      </c>
      <c r="AX58">
        <f t="shared" si="12"/>
        <v>1.6318315827850702</v>
      </c>
    </row>
    <row r="59" spans="19:50" x14ac:dyDescent="0.15">
      <c r="S59">
        <v>56</v>
      </c>
      <c r="T59">
        <f t="shared" si="15"/>
        <v>0.64484435319900513</v>
      </c>
      <c r="U59">
        <f t="shared" si="15"/>
        <v>0.46428525567054746</v>
      </c>
      <c r="V59">
        <f t="shared" si="15"/>
        <v>0.49599835658073427</v>
      </c>
      <c r="W59">
        <f t="shared" si="15"/>
        <v>0.49514462456703184</v>
      </c>
      <c r="X59">
        <f t="shared" si="15"/>
        <v>0.49987305426597595</v>
      </c>
      <c r="AF59">
        <v>56</v>
      </c>
      <c r="AG59">
        <f t="shared" si="16"/>
        <v>0.42882900411620684</v>
      </c>
      <c r="AH59">
        <f t="shared" si="16"/>
        <v>0.10282371964549109</v>
      </c>
      <c r="AI59">
        <f t="shared" si="16"/>
        <v>0.10164438875775861</v>
      </c>
      <c r="AJ59">
        <f t="shared" si="16"/>
        <v>0.10059067773963228</v>
      </c>
      <c r="AK59">
        <f t="shared" si="16"/>
        <v>0.10223918577456656</v>
      </c>
      <c r="AT59">
        <v>56</v>
      </c>
      <c r="AU59">
        <f t="shared" si="9"/>
        <v>0.89747631174602638</v>
      </c>
      <c r="AV59">
        <f t="shared" si="10"/>
        <v>1.3325476062628809</v>
      </c>
      <c r="AW59">
        <f t="shared" si="11"/>
        <v>1.6878625121642872</v>
      </c>
      <c r="AX59">
        <f t="shared" si="12"/>
        <v>1.6323879505849468</v>
      </c>
    </row>
    <row r="60" spans="19:50" x14ac:dyDescent="0.15">
      <c r="S60">
        <v>57</v>
      </c>
      <c r="T60">
        <f t="shared" si="15"/>
        <v>0.48916786909103394</v>
      </c>
      <c r="U60">
        <f t="shared" si="15"/>
        <v>0.47586025595664977</v>
      </c>
      <c r="V60">
        <f t="shared" si="15"/>
        <v>0.49290781044960019</v>
      </c>
      <c r="W60">
        <f t="shared" si="15"/>
        <v>0.50011070494651799</v>
      </c>
      <c r="X60">
        <f t="shared" si="15"/>
        <v>0.49769622035026551</v>
      </c>
      <c r="AF60">
        <v>57</v>
      </c>
      <c r="AG60">
        <f t="shared" si="16"/>
        <v>0.10096142667989053</v>
      </c>
      <c r="AH60">
        <f t="shared" si="16"/>
        <v>9.2599233860379132E-2</v>
      </c>
      <c r="AI60">
        <f t="shared" si="16"/>
        <v>9.7360793589448408E-2</v>
      </c>
      <c r="AJ60">
        <f t="shared" si="16"/>
        <v>9.8578225933324284E-2</v>
      </c>
      <c r="AK60">
        <f t="shared" si="16"/>
        <v>9.9540150322226476E-2</v>
      </c>
      <c r="AT60">
        <v>57</v>
      </c>
      <c r="AU60">
        <f t="shared" si="9"/>
        <v>0.69697302262611083</v>
      </c>
      <c r="AV60">
        <f t="shared" si="10"/>
        <v>1.4658619515577909</v>
      </c>
      <c r="AW60">
        <f t="shared" si="11"/>
        <v>1.7125624935391637</v>
      </c>
      <c r="AX60">
        <f t="shared" si="12"/>
        <v>1.6601115260602288</v>
      </c>
    </row>
    <row r="61" spans="19:50" x14ac:dyDescent="0.15">
      <c r="S61">
        <v>58</v>
      </c>
      <c r="T61">
        <f t="shared" si="15"/>
        <v>0.61562299728393555</v>
      </c>
      <c r="U61">
        <f t="shared" si="15"/>
        <v>0.58484603047370909</v>
      </c>
      <c r="V61">
        <f t="shared" si="15"/>
        <v>0.50442131209373475</v>
      </c>
      <c r="W61">
        <f t="shared" si="15"/>
        <v>0.50043262896537777</v>
      </c>
      <c r="X61">
        <f t="shared" si="15"/>
        <v>0.49925880646705628</v>
      </c>
      <c r="AF61">
        <v>58</v>
      </c>
      <c r="AG61">
        <f t="shared" si="16"/>
        <v>1.1757035164976875E-2</v>
      </c>
      <c r="AH61">
        <f t="shared" si="16"/>
        <v>8.9236294055916432E-2</v>
      </c>
      <c r="AI61">
        <f t="shared" si="16"/>
        <v>9.5452602934492051E-2</v>
      </c>
      <c r="AJ61">
        <f t="shared" si="16"/>
        <v>9.8639866474909341E-2</v>
      </c>
      <c r="AK61">
        <f t="shared" si="16"/>
        <v>9.9941398581417776E-2</v>
      </c>
      <c r="AT61">
        <v>58</v>
      </c>
      <c r="AU61">
        <f t="shared" si="9"/>
        <v>1.1362852148984741</v>
      </c>
      <c r="AV61">
        <f t="shared" si="10"/>
        <v>1.4444292862562713</v>
      </c>
      <c r="AW61">
        <f t="shared" si="11"/>
        <v>1.6437496638965041</v>
      </c>
      <c r="AX61">
        <f t="shared" si="12"/>
        <v>1.6340371261834612</v>
      </c>
    </row>
    <row r="62" spans="19:50" x14ac:dyDescent="0.15">
      <c r="S62">
        <v>59</v>
      </c>
      <c r="T62">
        <f t="shared" si="15"/>
        <v>0.83193236589431763</v>
      </c>
      <c r="U62">
        <f t="shared" si="15"/>
        <v>0.47067509531974794</v>
      </c>
      <c r="V62">
        <f t="shared" si="15"/>
        <v>0.50098086428642274</v>
      </c>
      <c r="W62">
        <f t="shared" si="15"/>
        <v>0.49254045281410219</v>
      </c>
      <c r="X62">
        <f t="shared" si="15"/>
        <v>0.49966443610191347</v>
      </c>
      <c r="AF62">
        <v>59</v>
      </c>
      <c r="AG62">
        <f t="shared" si="16"/>
        <v>7.9376215261629121E-2</v>
      </c>
      <c r="AH62">
        <f t="shared" si="16"/>
        <v>9.7193983411397025E-2</v>
      </c>
      <c r="AI62">
        <f t="shared" si="16"/>
        <v>0.10593700555287068</v>
      </c>
      <c r="AJ62">
        <f t="shared" si="16"/>
        <v>0.10216802203214752</v>
      </c>
      <c r="AK62">
        <f t="shared" si="16"/>
        <v>0.10135969142330124</v>
      </c>
      <c r="AT62">
        <v>59</v>
      </c>
      <c r="AU62">
        <f t="shared" si="9"/>
        <v>6.4256266810894589</v>
      </c>
      <c r="AV62">
        <f t="shared" si="10"/>
        <v>1.5096748620515956</v>
      </c>
      <c r="AW62">
        <f t="shared" si="11"/>
        <v>1.6958508659113132</v>
      </c>
      <c r="AX62">
        <f t="shared" si="12"/>
        <v>1.6403833062305571</v>
      </c>
    </row>
    <row r="63" spans="19:50" x14ac:dyDescent="0.15">
      <c r="S63">
        <v>60</v>
      </c>
      <c r="T63">
        <f t="shared" si="15"/>
        <v>0.82882535457611084</v>
      </c>
      <c r="U63">
        <f t="shared" si="15"/>
        <v>0.48344586730003358</v>
      </c>
      <c r="V63">
        <f t="shared" si="15"/>
        <v>0.50417522072792054</v>
      </c>
      <c r="W63">
        <f t="shared" si="15"/>
        <v>0.49441732115745546</v>
      </c>
      <c r="X63">
        <f t="shared" si="15"/>
        <v>0.50145045475959782</v>
      </c>
      <c r="AF63">
        <v>60</v>
      </c>
      <c r="AG63">
        <f t="shared" si="16"/>
        <v>1.8078224817244703E-2</v>
      </c>
      <c r="AH63">
        <f t="shared" si="16"/>
        <v>9.4536053022710009E-2</v>
      </c>
      <c r="AI63">
        <f t="shared" si="16"/>
        <v>9.9429236989344222E-2</v>
      </c>
      <c r="AJ63">
        <f t="shared" si="16"/>
        <v>9.9194506217762698E-2</v>
      </c>
      <c r="AK63">
        <f t="shared" si="16"/>
        <v>0.10111795383976298</v>
      </c>
      <c r="AT63">
        <v>60</v>
      </c>
      <c r="AU63">
        <f t="shared" si="9"/>
        <v>1.5678201834331098</v>
      </c>
      <c r="AV63">
        <f t="shared" si="10"/>
        <v>1.8000190605343411</v>
      </c>
      <c r="AW63">
        <f t="shared" si="11"/>
        <v>1.6465434963338217</v>
      </c>
      <c r="AX63">
        <f t="shared" si="12"/>
        <v>1.7029071863325436</v>
      </c>
    </row>
    <row r="64" spans="19:50" x14ac:dyDescent="0.15">
      <c r="S64">
        <v>61</v>
      </c>
      <c r="T64">
        <f t="shared" si="15"/>
        <v>0.49681591987609863</v>
      </c>
      <c r="U64">
        <f t="shared" si="15"/>
        <v>0.48390799641609195</v>
      </c>
      <c r="V64">
        <f t="shared" si="15"/>
        <v>0.50457402205467228</v>
      </c>
      <c r="W64">
        <f t="shared" si="15"/>
        <v>0.50855928921699523</v>
      </c>
      <c r="X64">
        <f t="shared" si="15"/>
        <v>0.49997782082557679</v>
      </c>
      <c r="AF64">
        <v>61</v>
      </c>
      <c r="AG64">
        <f t="shared" si="16"/>
        <v>0.14166724309259032</v>
      </c>
      <c r="AH64">
        <f t="shared" si="16"/>
        <v>9.2477164502383732E-2</v>
      </c>
      <c r="AI64">
        <f t="shared" si="16"/>
        <v>9.9155312896408943E-2</v>
      </c>
      <c r="AJ64">
        <f t="shared" si="16"/>
        <v>0.10199796123902768</v>
      </c>
      <c r="AK64">
        <f t="shared" si="16"/>
        <v>0.10073283273337892</v>
      </c>
      <c r="AT64">
        <v>61</v>
      </c>
      <c r="AU64">
        <f t="shared" si="9"/>
        <v>3.1079948528342944</v>
      </c>
      <c r="AV64">
        <f t="shared" si="10"/>
        <v>1.4257438402085938</v>
      </c>
      <c r="AW64">
        <f t="shared" si="11"/>
        <v>1.7025657215605472</v>
      </c>
      <c r="AX64">
        <f t="shared" si="12"/>
        <v>1.6181575783054956</v>
      </c>
    </row>
    <row r="65" spans="19:50" x14ac:dyDescent="0.15">
      <c r="S65">
        <v>62</v>
      </c>
      <c r="T65">
        <f t="shared" si="15"/>
        <v>3.4963905811309814E-2</v>
      </c>
      <c r="U65">
        <f t="shared" si="15"/>
        <v>0.54586979746818542</v>
      </c>
      <c r="V65">
        <f t="shared" si="15"/>
        <v>0.50167555737495417</v>
      </c>
      <c r="W65">
        <f t="shared" si="15"/>
        <v>0.50256345276832581</v>
      </c>
      <c r="X65">
        <f t="shared" si="15"/>
        <v>0.49911618475913999</v>
      </c>
      <c r="AF65">
        <v>62</v>
      </c>
      <c r="AG65">
        <f t="shared" si="16"/>
        <v>0.10272061974589534</v>
      </c>
      <c r="AH65">
        <f t="shared" si="16"/>
        <v>8.8350810577616345E-2</v>
      </c>
      <c r="AI65">
        <f t="shared" si="16"/>
        <v>9.4606600170172195E-2</v>
      </c>
      <c r="AJ65">
        <f t="shared" si="16"/>
        <v>0.10055338035054005</v>
      </c>
      <c r="AK65">
        <f t="shared" si="16"/>
        <v>0.10064456150604023</v>
      </c>
      <c r="AT65">
        <v>62</v>
      </c>
      <c r="AU65">
        <f t="shared" si="9"/>
        <v>2.1364487597097277</v>
      </c>
      <c r="AV65">
        <f t="shared" si="10"/>
        <v>1.4630021257427444</v>
      </c>
      <c r="AW65">
        <f t="shared" si="11"/>
        <v>1.640264443332808</v>
      </c>
      <c r="AX65">
        <f t="shared" si="12"/>
        <v>1.6241712610878329</v>
      </c>
    </row>
    <row r="66" spans="19:50" x14ac:dyDescent="0.15">
      <c r="S66">
        <v>63</v>
      </c>
      <c r="T66">
        <f t="shared" si="15"/>
        <v>0.30039823055267334</v>
      </c>
      <c r="U66">
        <f t="shared" si="15"/>
        <v>0.41872956871986389</v>
      </c>
      <c r="V66">
        <f t="shared" si="15"/>
        <v>0.49110106492042543</v>
      </c>
      <c r="W66">
        <f t="shared" si="15"/>
        <v>0.50869197020530699</v>
      </c>
      <c r="X66">
        <f t="shared" si="15"/>
        <v>0.49925580143928527</v>
      </c>
      <c r="AF66">
        <v>63</v>
      </c>
      <c r="AG66">
        <f t="shared" si="16"/>
        <v>1.4658129716183688E-3</v>
      </c>
      <c r="AH66">
        <f t="shared" si="16"/>
        <v>8.9411410749164852E-2</v>
      </c>
      <c r="AI66">
        <f t="shared" si="16"/>
        <v>0.10085164104953012</v>
      </c>
      <c r="AJ66">
        <f t="shared" si="16"/>
        <v>0.10044500739652905</v>
      </c>
      <c r="AK66">
        <f t="shared" si="16"/>
        <v>0.100633607878644</v>
      </c>
      <c r="AT66">
        <v>63</v>
      </c>
      <c r="AU66">
        <f t="shared" si="9"/>
        <v>0.51568929044817058</v>
      </c>
      <c r="AV66">
        <f t="shared" si="10"/>
        <v>2.0824609204791305</v>
      </c>
      <c r="AW66">
        <f t="shared" si="11"/>
        <v>1.6652013299699373</v>
      </c>
      <c r="AX66">
        <f t="shared" si="12"/>
        <v>1.6263665012832826</v>
      </c>
    </row>
    <row r="67" spans="19:50" x14ac:dyDescent="0.15">
      <c r="S67">
        <v>64</v>
      </c>
      <c r="T67">
        <f t="shared" si="15"/>
        <v>0.95051640272140503</v>
      </c>
      <c r="U67">
        <f t="shared" si="15"/>
        <v>0.44001049160957334</v>
      </c>
      <c r="V67">
        <f t="shared" si="15"/>
        <v>0.50158783125877382</v>
      </c>
      <c r="W67">
        <f t="shared" si="15"/>
        <v>0.50461580777168269</v>
      </c>
      <c r="X67">
        <f t="shared" si="15"/>
        <v>0.50403444819450383</v>
      </c>
      <c r="AF67">
        <v>64</v>
      </c>
      <c r="AG67">
        <f t="shared" si="16"/>
        <v>0.196786004860101</v>
      </c>
      <c r="AH67">
        <f t="shared" si="16"/>
        <v>9.0029689221162224E-2</v>
      </c>
      <c r="AI67">
        <f t="shared" si="16"/>
        <v>9.7536255163728283E-2</v>
      </c>
      <c r="AJ67">
        <f t="shared" si="16"/>
        <v>0.10025916292152121</v>
      </c>
      <c r="AK67">
        <f t="shared" si="16"/>
        <v>9.9205616277705286E-2</v>
      </c>
      <c r="AT67">
        <v>64</v>
      </c>
      <c r="AU67">
        <f t="shared" si="9"/>
        <v>0.40648564669837256</v>
      </c>
      <c r="AV67">
        <f t="shared" si="10"/>
        <v>1.3489376083106059</v>
      </c>
      <c r="AW67">
        <f t="shared" si="11"/>
        <v>1.5877451702984091</v>
      </c>
      <c r="AX67">
        <f t="shared" si="12"/>
        <v>1.7077324090130994</v>
      </c>
    </row>
    <row r="68" spans="19:50" x14ac:dyDescent="0.15">
      <c r="S68">
        <v>65</v>
      </c>
      <c r="T68">
        <f t="shared" si="15"/>
        <v>0.30895525217056274</v>
      </c>
      <c r="U68">
        <f t="shared" si="15"/>
        <v>0.52520794749259947</v>
      </c>
      <c r="V68">
        <f t="shared" si="15"/>
        <v>0.49671254467964171</v>
      </c>
      <c r="W68">
        <f t="shared" si="15"/>
        <v>0.50649871325492857</v>
      </c>
      <c r="X68">
        <f t="shared" si="15"/>
        <v>0.49961723799705504</v>
      </c>
      <c r="AF68">
        <v>65</v>
      </c>
      <c r="AG68">
        <f t="shared" si="16"/>
        <v>0.25827986087671195</v>
      </c>
      <c r="AH68">
        <f t="shared" si="16"/>
        <v>9.9829794395301388E-2</v>
      </c>
      <c r="AI68">
        <f t="shared" si="16"/>
        <v>0.10501918842447028</v>
      </c>
      <c r="AJ68">
        <f t="shared" si="16"/>
        <v>0.10103273758146573</v>
      </c>
      <c r="AK68">
        <f t="shared" si="16"/>
        <v>9.9160750724525126E-2</v>
      </c>
      <c r="AT68">
        <v>65</v>
      </c>
      <c r="AU68">
        <f t="shared" si="9"/>
        <v>0.97723118133829101</v>
      </c>
      <c r="AV68">
        <f t="shared" si="10"/>
        <v>1.3981077191316558</v>
      </c>
      <c r="AW68">
        <f t="shared" si="11"/>
        <v>1.5836809700518815</v>
      </c>
      <c r="AX68">
        <f t="shared" si="12"/>
        <v>1.6388371783646947</v>
      </c>
    </row>
    <row r="69" spans="19:50" x14ac:dyDescent="0.15">
      <c r="S69">
        <v>66</v>
      </c>
      <c r="T69">
        <f t="shared" ref="T69:X84" si="17">MeanOfUniform(T$3)</f>
        <v>0.52051198482513428</v>
      </c>
      <c r="U69">
        <f t="shared" si="17"/>
        <v>0.50466401696205143</v>
      </c>
      <c r="V69">
        <f t="shared" si="17"/>
        <v>0.51794309115409853</v>
      </c>
      <c r="W69">
        <f t="shared" si="17"/>
        <v>0.50679302954673766</v>
      </c>
      <c r="X69">
        <f t="shared" si="17"/>
        <v>0.49433895878791811</v>
      </c>
      <c r="AF69">
        <v>66</v>
      </c>
      <c r="AG69">
        <f t="shared" ref="AG69:AK84" si="18">MeanOfExp(AG$3,10)</f>
        <v>1.8869661935761388E-2</v>
      </c>
      <c r="AH69">
        <f t="shared" si="18"/>
        <v>0.11427908457498875</v>
      </c>
      <c r="AI69">
        <f t="shared" si="18"/>
        <v>9.5451334214159758E-2</v>
      </c>
      <c r="AJ69">
        <f t="shared" si="18"/>
        <v>9.9311668989053345E-2</v>
      </c>
      <c r="AK69">
        <f t="shared" si="18"/>
        <v>0.10134942457293779</v>
      </c>
      <c r="AT69">
        <v>66</v>
      </c>
      <c r="AU69">
        <f t="shared" si="9"/>
        <v>1.7730154592683398</v>
      </c>
      <c r="AV69">
        <f t="shared" si="10"/>
        <v>1.7313709786740523</v>
      </c>
      <c r="AW69">
        <f t="shared" si="11"/>
        <v>1.5866380061619665</v>
      </c>
      <c r="AX69">
        <f t="shared" si="12"/>
        <v>1.7292138236636632</v>
      </c>
    </row>
    <row r="70" spans="19:50" x14ac:dyDescent="0.15">
      <c r="S70">
        <v>67</v>
      </c>
      <c r="T70">
        <f t="shared" si="17"/>
        <v>0.30154484510421753</v>
      </c>
      <c r="U70">
        <f t="shared" si="17"/>
        <v>0.51713471770286557</v>
      </c>
      <c r="V70">
        <f t="shared" si="17"/>
        <v>0.49563514304161072</v>
      </c>
      <c r="W70">
        <f t="shared" si="17"/>
        <v>0.49437909207344055</v>
      </c>
      <c r="X70">
        <f t="shared" si="17"/>
        <v>0.49550336909294129</v>
      </c>
      <c r="AF70">
        <v>67</v>
      </c>
      <c r="AG70">
        <f t="shared" si="18"/>
        <v>3.9438276237377015E-2</v>
      </c>
      <c r="AH70">
        <f t="shared" si="18"/>
        <v>0.10122134248742232</v>
      </c>
      <c r="AI70">
        <f t="shared" si="18"/>
        <v>0.10587837952184155</v>
      </c>
      <c r="AJ70">
        <f t="shared" si="18"/>
        <v>9.8321493617039499E-2</v>
      </c>
      <c r="AK70">
        <f t="shared" si="18"/>
        <v>0.10113608758791716</v>
      </c>
      <c r="AT70">
        <v>67</v>
      </c>
      <c r="AU70">
        <f t="shared" si="9"/>
        <v>0.57208023464702562</v>
      </c>
      <c r="AV70">
        <f t="shared" si="10"/>
        <v>1.8411577488780402</v>
      </c>
      <c r="AW70">
        <f t="shared" si="11"/>
        <v>1.7145924484477777</v>
      </c>
      <c r="AX70">
        <f t="shared" si="12"/>
        <v>1.6451018730935969</v>
      </c>
    </row>
    <row r="71" spans="19:50" x14ac:dyDescent="0.15">
      <c r="S71">
        <v>68</v>
      </c>
      <c r="T71">
        <f t="shared" si="17"/>
        <v>0.8103334903717041</v>
      </c>
      <c r="U71">
        <f t="shared" si="17"/>
        <v>0.5322566783428192</v>
      </c>
      <c r="V71">
        <f t="shared" si="17"/>
        <v>0.50547787976264957</v>
      </c>
      <c r="W71">
        <f t="shared" si="17"/>
        <v>0.50189849352836613</v>
      </c>
      <c r="X71">
        <f t="shared" si="17"/>
        <v>0.49832179207801819</v>
      </c>
      <c r="AF71">
        <v>68</v>
      </c>
      <c r="AG71">
        <f t="shared" si="18"/>
        <v>2.2216064708331903E-4</v>
      </c>
      <c r="AH71">
        <f t="shared" si="18"/>
        <v>9.6593581530951378E-2</v>
      </c>
      <c r="AI71">
        <f t="shared" si="18"/>
        <v>0.1038467132843762</v>
      </c>
      <c r="AJ71">
        <f t="shared" si="18"/>
        <v>0.10304438074784883</v>
      </c>
      <c r="AK71">
        <f t="shared" si="18"/>
        <v>9.9026799459844758E-2</v>
      </c>
      <c r="AT71">
        <v>68</v>
      </c>
      <c r="AU71">
        <f t="shared" si="9"/>
        <v>2.0515379202107327</v>
      </c>
      <c r="AV71">
        <f t="shared" si="10"/>
        <v>1.3799028540389791</v>
      </c>
      <c r="AW71">
        <f t="shared" si="11"/>
        <v>1.6711644525910634</v>
      </c>
      <c r="AX71">
        <f t="shared" si="12"/>
        <v>1.6337885760733142</v>
      </c>
    </row>
    <row r="72" spans="19:50" x14ac:dyDescent="0.15">
      <c r="S72">
        <v>69</v>
      </c>
      <c r="T72">
        <f t="shared" si="17"/>
        <v>0.97181332111358643</v>
      </c>
      <c r="U72">
        <f t="shared" si="17"/>
        <v>0.4793088686466217</v>
      </c>
      <c r="V72">
        <f t="shared" si="17"/>
        <v>0.50299521517753598</v>
      </c>
      <c r="W72">
        <f t="shared" si="17"/>
        <v>0.50062951874732975</v>
      </c>
      <c r="X72">
        <f t="shared" si="17"/>
        <v>0.49995694470405577</v>
      </c>
      <c r="AF72">
        <v>69</v>
      </c>
      <c r="AG72">
        <f t="shared" si="18"/>
        <v>0.21643444017991395</v>
      </c>
      <c r="AH72">
        <f t="shared" si="18"/>
        <v>0.10231105672452863</v>
      </c>
      <c r="AI72">
        <f t="shared" si="18"/>
        <v>9.3067558350876406E-2</v>
      </c>
      <c r="AJ72">
        <f t="shared" si="18"/>
        <v>0.1018831169315885</v>
      </c>
      <c r="AK72">
        <f t="shared" si="18"/>
        <v>0.10113984767720069</v>
      </c>
      <c r="AT72">
        <v>69</v>
      </c>
      <c r="AU72">
        <f t="shared" si="9"/>
        <v>5.3280240505626413</v>
      </c>
      <c r="AV72">
        <f t="shared" si="10"/>
        <v>2.0297933173034557</v>
      </c>
      <c r="AW72">
        <f t="shared" si="11"/>
        <v>1.6663029347985685</v>
      </c>
      <c r="AX72">
        <f t="shared" si="12"/>
        <v>1.6304051346563906</v>
      </c>
    </row>
    <row r="73" spans="19:50" x14ac:dyDescent="0.15">
      <c r="S73">
        <v>70</v>
      </c>
      <c r="T73">
        <f t="shared" si="17"/>
        <v>4.4081389904022217E-2</v>
      </c>
      <c r="U73">
        <f t="shared" si="17"/>
        <v>0.50411164641380313</v>
      </c>
      <c r="V73">
        <f t="shared" si="17"/>
        <v>0.4954009687900543</v>
      </c>
      <c r="W73">
        <f t="shared" si="17"/>
        <v>0.50442249913215642</v>
      </c>
      <c r="X73">
        <f t="shared" si="17"/>
        <v>0.5014037261486054</v>
      </c>
      <c r="AF73">
        <v>70</v>
      </c>
      <c r="AG73">
        <f t="shared" si="18"/>
        <v>0.20621257833894702</v>
      </c>
      <c r="AH73">
        <f t="shared" si="18"/>
        <v>0.10045797253462033</v>
      </c>
      <c r="AI73">
        <f t="shared" si="18"/>
        <v>9.8779698941509855E-2</v>
      </c>
      <c r="AJ73">
        <f t="shared" si="18"/>
        <v>0.10174326337060625</v>
      </c>
      <c r="AK73">
        <f t="shared" si="18"/>
        <v>0.10019508717810763</v>
      </c>
      <c r="AT73">
        <v>70</v>
      </c>
      <c r="AU73">
        <f t="shared" si="9"/>
        <v>7.2566303660920228</v>
      </c>
      <c r="AV73">
        <f t="shared" si="10"/>
        <v>1.677551491855281</v>
      </c>
      <c r="AW73">
        <f t="shared" si="11"/>
        <v>1.6156286987221371</v>
      </c>
      <c r="AX73">
        <f t="shared" si="12"/>
        <v>1.6390261152829428</v>
      </c>
    </row>
    <row r="74" spans="19:50" x14ac:dyDescent="0.15">
      <c r="S74">
        <v>71</v>
      </c>
      <c r="T74">
        <f t="shared" si="17"/>
        <v>9.3796014785766602E-2</v>
      </c>
      <c r="U74">
        <f t="shared" si="17"/>
        <v>0.48969741940498351</v>
      </c>
      <c r="V74">
        <f t="shared" si="17"/>
        <v>0.50006270527839658</v>
      </c>
      <c r="W74">
        <f t="shared" si="17"/>
        <v>0.49802761034965515</v>
      </c>
      <c r="X74">
        <f t="shared" si="17"/>
        <v>0.49557733407020571</v>
      </c>
      <c r="AF74">
        <v>71</v>
      </c>
      <c r="AG74">
        <f t="shared" si="18"/>
        <v>4.6675640094680906E-2</v>
      </c>
      <c r="AH74">
        <f t="shared" si="18"/>
        <v>0.10327366882609672</v>
      </c>
      <c r="AI74">
        <f t="shared" si="18"/>
        <v>0.10117868277773352</v>
      </c>
      <c r="AJ74">
        <f t="shared" si="18"/>
        <v>9.9060112281486631E-2</v>
      </c>
      <c r="AK74">
        <f t="shared" si="18"/>
        <v>0.10023716748011159</v>
      </c>
      <c r="AT74">
        <v>71</v>
      </c>
      <c r="AU74">
        <f t="shared" si="9"/>
        <v>2.5163482801085322</v>
      </c>
      <c r="AV74">
        <f t="shared" si="10"/>
        <v>1.526131059382684</v>
      </c>
      <c r="AW74">
        <f t="shared" si="11"/>
        <v>1.6292204558048344</v>
      </c>
      <c r="AX74">
        <f t="shared" si="12"/>
        <v>1.6663477873341468</v>
      </c>
    </row>
    <row r="75" spans="19:50" x14ac:dyDescent="0.15">
      <c r="S75">
        <v>72</v>
      </c>
      <c r="T75">
        <f t="shared" si="17"/>
        <v>9.4011366367340088E-2</v>
      </c>
      <c r="U75">
        <f t="shared" si="17"/>
        <v>0.48805410981178282</v>
      </c>
      <c r="V75">
        <f t="shared" si="17"/>
        <v>0.50586583590507506</v>
      </c>
      <c r="W75">
        <f t="shared" si="17"/>
        <v>0.49911435761451722</v>
      </c>
      <c r="X75">
        <f t="shared" si="17"/>
        <v>0.49758250441551211</v>
      </c>
      <c r="AF75">
        <v>72</v>
      </c>
      <c r="AG75">
        <f t="shared" si="18"/>
        <v>4.451435561635543E-2</v>
      </c>
      <c r="AH75">
        <f t="shared" si="18"/>
        <v>0.10024866037891127</v>
      </c>
      <c r="AI75">
        <f t="shared" si="18"/>
        <v>0.10307429700841939</v>
      </c>
      <c r="AJ75">
        <f t="shared" si="18"/>
        <v>0.10103838732019416</v>
      </c>
      <c r="AK75">
        <f t="shared" si="18"/>
        <v>0.10041440225670457</v>
      </c>
      <c r="AT75">
        <v>72</v>
      </c>
      <c r="AU75">
        <f t="shared" si="9"/>
        <v>0.93806380887269292</v>
      </c>
      <c r="AV75">
        <f t="shared" si="10"/>
        <v>1.4782595589290373</v>
      </c>
      <c r="AW75">
        <f t="shared" si="11"/>
        <v>1.7128932753067625</v>
      </c>
      <c r="AX75">
        <f t="shared" si="12"/>
        <v>1.6152458162075232</v>
      </c>
    </row>
    <row r="76" spans="19:50" x14ac:dyDescent="0.15">
      <c r="S76">
        <v>73</v>
      </c>
      <c r="T76">
        <f t="shared" si="17"/>
        <v>0.85086578130722046</v>
      </c>
      <c r="U76">
        <f t="shared" si="17"/>
        <v>0.45616891264915466</v>
      </c>
      <c r="V76">
        <f t="shared" si="17"/>
        <v>0.49049752640724181</v>
      </c>
      <c r="W76">
        <f t="shared" si="17"/>
        <v>0.50428283209800717</v>
      </c>
      <c r="X76">
        <f t="shared" si="17"/>
        <v>0.49637131686210634</v>
      </c>
      <c r="AF76">
        <v>73</v>
      </c>
      <c r="AG76">
        <f t="shared" si="18"/>
        <v>8.7353150900546433E-2</v>
      </c>
      <c r="AH76">
        <f t="shared" si="18"/>
        <v>0.11470094971173975</v>
      </c>
      <c r="AI76">
        <f t="shared" si="18"/>
        <v>0.10093190375563142</v>
      </c>
      <c r="AJ76">
        <f t="shared" si="18"/>
        <v>0.10010699230980759</v>
      </c>
      <c r="AK76">
        <f t="shared" si="18"/>
        <v>9.9383939633916493E-2</v>
      </c>
      <c r="AT76">
        <v>73</v>
      </c>
      <c r="AU76">
        <f t="shared" si="9"/>
        <v>0.33248109946793308</v>
      </c>
      <c r="AV76">
        <f t="shared" si="10"/>
        <v>1.6846452755085053</v>
      </c>
      <c r="AW76">
        <f t="shared" si="11"/>
        <v>1.6919323841095719</v>
      </c>
      <c r="AX76">
        <f t="shared" si="12"/>
        <v>1.6133919816440989</v>
      </c>
    </row>
    <row r="77" spans="19:50" x14ac:dyDescent="0.15">
      <c r="S77">
        <v>74</v>
      </c>
      <c r="T77">
        <f t="shared" si="17"/>
        <v>0.60225510597229004</v>
      </c>
      <c r="U77">
        <f t="shared" si="17"/>
        <v>0.47860550045967104</v>
      </c>
      <c r="V77">
        <f t="shared" si="17"/>
        <v>0.49285976004600524</v>
      </c>
      <c r="W77">
        <f t="shared" si="17"/>
        <v>0.49727425990104673</v>
      </c>
      <c r="X77">
        <f t="shared" si="17"/>
        <v>0.500214470911026</v>
      </c>
      <c r="AF77">
        <v>74</v>
      </c>
      <c r="AG77">
        <f t="shared" si="18"/>
        <v>5.3217830827719213E-2</v>
      </c>
      <c r="AH77">
        <f t="shared" si="18"/>
        <v>8.1993242347172951E-2</v>
      </c>
      <c r="AI77">
        <f t="shared" si="18"/>
        <v>9.5623969600989303E-2</v>
      </c>
      <c r="AJ77">
        <f t="shared" si="18"/>
        <v>9.8118958832234676E-2</v>
      </c>
      <c r="AK77">
        <f t="shared" si="18"/>
        <v>9.7965958180454976E-2</v>
      </c>
      <c r="AT77">
        <v>74</v>
      </c>
      <c r="AU77">
        <f t="shared" si="9"/>
        <v>1.8706403023707314</v>
      </c>
      <c r="AV77">
        <f t="shared" si="10"/>
        <v>1.599092481333825</v>
      </c>
      <c r="AW77">
        <f t="shared" si="11"/>
        <v>1.6561150411891896</v>
      </c>
      <c r="AX77">
        <f t="shared" si="12"/>
        <v>1.6264764590543555</v>
      </c>
    </row>
    <row r="78" spans="19:50" x14ac:dyDescent="0.15">
      <c r="S78">
        <v>75</v>
      </c>
      <c r="T78">
        <f t="shared" si="17"/>
        <v>0.96542555093765259</v>
      </c>
      <c r="U78">
        <f t="shared" si="17"/>
        <v>0.47643594622612001</v>
      </c>
      <c r="V78">
        <f t="shared" si="17"/>
        <v>0.4863203589916229</v>
      </c>
      <c r="W78">
        <f t="shared" si="17"/>
        <v>0.49673591828346253</v>
      </c>
      <c r="X78">
        <f t="shared" si="17"/>
        <v>0.50111490187644958</v>
      </c>
      <c r="AF78">
        <v>75</v>
      </c>
      <c r="AG78">
        <f t="shared" si="18"/>
        <v>7.2785158781785292E-2</v>
      </c>
      <c r="AH78">
        <f t="shared" si="18"/>
        <v>0.11823722464099679</v>
      </c>
      <c r="AI78">
        <f t="shared" si="18"/>
        <v>9.8553415231799002E-2</v>
      </c>
      <c r="AJ78">
        <f t="shared" si="18"/>
        <v>9.9082731395775739E-2</v>
      </c>
      <c r="AK78">
        <f t="shared" si="18"/>
        <v>9.8770098987921787E-2</v>
      </c>
      <c r="AT78">
        <v>75</v>
      </c>
      <c r="AU78">
        <f t="shared" si="9"/>
        <v>3.233011589643437</v>
      </c>
      <c r="AV78">
        <f t="shared" si="10"/>
        <v>1.4584438023056847</v>
      </c>
      <c r="AW78">
        <f t="shared" si="11"/>
        <v>1.6195266531872277</v>
      </c>
      <c r="AX78">
        <f t="shared" si="12"/>
        <v>1.6538187604372685</v>
      </c>
    </row>
    <row r="79" spans="19:50" x14ac:dyDescent="0.15">
      <c r="S79">
        <v>76</v>
      </c>
      <c r="T79">
        <f t="shared" si="17"/>
        <v>0.65240395069122314</v>
      </c>
      <c r="U79">
        <f t="shared" si="17"/>
        <v>0.53400461554527279</v>
      </c>
      <c r="V79">
        <f t="shared" si="17"/>
        <v>0.49788285660743714</v>
      </c>
      <c r="W79">
        <f t="shared" si="17"/>
        <v>0.4972367139339447</v>
      </c>
      <c r="X79">
        <f t="shared" si="17"/>
        <v>0.50111657757759098</v>
      </c>
      <c r="AF79">
        <v>76</v>
      </c>
      <c r="AG79">
        <f t="shared" si="18"/>
        <v>0.11718257568731454</v>
      </c>
      <c r="AH79">
        <f t="shared" si="18"/>
        <v>0.12108913705517202</v>
      </c>
      <c r="AI79">
        <f t="shared" si="18"/>
        <v>0.10112566064074828</v>
      </c>
      <c r="AJ79">
        <f t="shared" si="18"/>
        <v>0.10022223405585613</v>
      </c>
      <c r="AK79">
        <f t="shared" si="18"/>
        <v>9.856088553726583E-2</v>
      </c>
      <c r="AT79">
        <v>76</v>
      </c>
      <c r="AU79">
        <f t="shared" si="9"/>
        <v>1.1467807684803861</v>
      </c>
      <c r="AV79">
        <f t="shared" si="10"/>
        <v>1.1763276389477813</v>
      </c>
      <c r="AW79">
        <f t="shared" si="11"/>
        <v>1.6544228546367687</v>
      </c>
      <c r="AX79">
        <f t="shared" si="12"/>
        <v>1.6062634377284066</v>
      </c>
    </row>
    <row r="80" spans="19:50" x14ac:dyDescent="0.15">
      <c r="S80">
        <v>77</v>
      </c>
      <c r="T80">
        <f t="shared" si="17"/>
        <v>0.29283905029296875</v>
      </c>
      <c r="U80">
        <f t="shared" si="17"/>
        <v>0.46836937069892881</v>
      </c>
      <c r="V80">
        <f t="shared" si="17"/>
        <v>0.5010222356319427</v>
      </c>
      <c r="W80">
        <f t="shared" si="17"/>
        <v>0.49767512516975404</v>
      </c>
      <c r="X80">
        <f t="shared" si="17"/>
        <v>0.50401104264259333</v>
      </c>
      <c r="AF80">
        <v>77</v>
      </c>
      <c r="AG80">
        <f t="shared" si="18"/>
        <v>0.13775718226170636</v>
      </c>
      <c r="AH80">
        <f t="shared" si="18"/>
        <v>9.1531536343473885E-2</v>
      </c>
      <c r="AI80">
        <f t="shared" si="18"/>
        <v>9.8572589606815975E-2</v>
      </c>
      <c r="AJ80">
        <f t="shared" si="18"/>
        <v>9.7439792820213519E-2</v>
      </c>
      <c r="AK80">
        <f t="shared" si="18"/>
        <v>0.10086637792340652</v>
      </c>
      <c r="AT80">
        <v>77</v>
      </c>
      <c r="AU80">
        <f t="shared" si="9"/>
        <v>0.74847219565432854</v>
      </c>
      <c r="AV80">
        <f t="shared" si="10"/>
        <v>1.7507574401174337</v>
      </c>
      <c r="AW80">
        <f t="shared" si="11"/>
        <v>1.7851346061731566</v>
      </c>
      <c r="AX80">
        <f t="shared" si="12"/>
        <v>1.6493591730621946</v>
      </c>
    </row>
    <row r="81" spans="19:50" x14ac:dyDescent="0.15">
      <c r="S81">
        <v>78</v>
      </c>
      <c r="T81">
        <f t="shared" si="17"/>
        <v>0.91629034280776978</v>
      </c>
      <c r="U81">
        <f t="shared" si="17"/>
        <v>0.54859353899955754</v>
      </c>
      <c r="V81">
        <f t="shared" si="17"/>
        <v>0.49621752858161927</v>
      </c>
      <c r="W81">
        <f t="shared" si="17"/>
        <v>0.48851254982948306</v>
      </c>
      <c r="X81">
        <f t="shared" si="17"/>
        <v>0.49903984389305117</v>
      </c>
      <c r="AF81">
        <v>78</v>
      </c>
      <c r="AG81">
        <f t="shared" si="18"/>
        <v>1.5738018245251721E-2</v>
      </c>
      <c r="AH81">
        <f t="shared" si="18"/>
        <v>8.515449953354387E-2</v>
      </c>
      <c r="AI81">
        <f t="shared" si="18"/>
        <v>9.8054494842317749E-2</v>
      </c>
      <c r="AJ81">
        <f t="shared" si="18"/>
        <v>0.10084128325054958</v>
      </c>
      <c r="AK81">
        <f t="shared" si="18"/>
        <v>0.10101452704438697</v>
      </c>
      <c r="AT81">
        <v>78</v>
      </c>
      <c r="AU81">
        <f t="shared" si="9"/>
        <v>2.034249639158888</v>
      </c>
      <c r="AV81">
        <f t="shared" si="10"/>
        <v>1.7108418862355137</v>
      </c>
      <c r="AW81">
        <f t="shared" si="11"/>
        <v>1.6083700834476966</v>
      </c>
      <c r="AX81">
        <f t="shared" si="12"/>
        <v>1.6277613358162488</v>
      </c>
    </row>
    <row r="82" spans="19:50" x14ac:dyDescent="0.15">
      <c r="S82">
        <v>79</v>
      </c>
      <c r="T82">
        <f t="shared" si="17"/>
        <v>0.34248268604278564</v>
      </c>
      <c r="U82">
        <f t="shared" si="17"/>
        <v>0.50532984375953671</v>
      </c>
      <c r="V82">
        <f t="shared" si="17"/>
        <v>0.49525276207923891</v>
      </c>
      <c r="W82">
        <f t="shared" si="17"/>
        <v>0.49968690009117128</v>
      </c>
      <c r="X82">
        <f t="shared" si="17"/>
        <v>0.50385200238227845</v>
      </c>
      <c r="AF82">
        <v>79</v>
      </c>
      <c r="AG82">
        <f t="shared" si="18"/>
        <v>4.0549154311752406E-2</v>
      </c>
      <c r="AH82">
        <f t="shared" si="18"/>
        <v>0.10953579520338147</v>
      </c>
      <c r="AI82">
        <f t="shared" si="18"/>
        <v>9.544644756082997E-2</v>
      </c>
      <c r="AJ82">
        <f t="shared" si="18"/>
        <v>9.9980841275801105E-2</v>
      </c>
      <c r="AK82">
        <f t="shared" si="18"/>
        <v>0.10028983128355361</v>
      </c>
      <c r="AT82">
        <v>79</v>
      </c>
      <c r="AU82">
        <f t="shared" si="9"/>
        <v>1.758261066320433</v>
      </c>
      <c r="AV82">
        <f t="shared" si="10"/>
        <v>1.5600141830184611</v>
      </c>
      <c r="AW82">
        <f t="shared" si="11"/>
        <v>1.6607930774109929</v>
      </c>
      <c r="AX82">
        <f t="shared" si="12"/>
        <v>1.6578308100746177</v>
      </c>
    </row>
    <row r="83" spans="19:50" x14ac:dyDescent="0.15">
      <c r="S83">
        <v>80</v>
      </c>
      <c r="T83">
        <f t="shared" si="17"/>
        <v>0.12021297216415405</v>
      </c>
      <c r="U83">
        <f t="shared" si="17"/>
        <v>0.5136031830310821</v>
      </c>
      <c r="V83">
        <f t="shared" si="17"/>
        <v>0.5071725194454193</v>
      </c>
      <c r="W83">
        <f t="shared" si="17"/>
        <v>0.50259297184944152</v>
      </c>
      <c r="X83">
        <f t="shared" si="17"/>
        <v>0.49806723513603213</v>
      </c>
      <c r="AF83">
        <v>80</v>
      </c>
      <c r="AG83">
        <f t="shared" si="18"/>
        <v>5.9874110244487175E-2</v>
      </c>
      <c r="AH83">
        <f t="shared" si="18"/>
        <v>0.10424975531007478</v>
      </c>
      <c r="AI83">
        <f t="shared" si="18"/>
        <v>0.10165303472303644</v>
      </c>
      <c r="AJ83">
        <f t="shared" si="18"/>
        <v>9.9701268058945886E-2</v>
      </c>
      <c r="AK83">
        <f t="shared" si="18"/>
        <v>9.9356570030538063E-2</v>
      </c>
      <c r="AT83">
        <v>80</v>
      </c>
      <c r="AU83">
        <f t="shared" si="9"/>
        <v>1.1612016014325148</v>
      </c>
      <c r="AV83">
        <f t="shared" si="10"/>
        <v>1.641242575108754</v>
      </c>
      <c r="AW83">
        <f t="shared" si="11"/>
        <v>1.631285212372056</v>
      </c>
      <c r="AX83">
        <f t="shared" si="12"/>
        <v>1.65646080130333</v>
      </c>
    </row>
    <row r="84" spans="19:50" x14ac:dyDescent="0.15">
      <c r="S84">
        <v>81</v>
      </c>
      <c r="T84">
        <f t="shared" si="17"/>
        <v>0.11638718843460083</v>
      </c>
      <c r="U84">
        <f t="shared" si="17"/>
        <v>0.52136308550834654</v>
      </c>
      <c r="V84">
        <f t="shared" si="17"/>
        <v>0.49592834401130675</v>
      </c>
      <c r="W84">
        <f t="shared" si="17"/>
        <v>0.50338670649528505</v>
      </c>
      <c r="X84">
        <f t="shared" si="17"/>
        <v>0.49606735587120054</v>
      </c>
      <c r="AF84">
        <v>81</v>
      </c>
      <c r="AG84">
        <f t="shared" si="18"/>
        <v>6.3684383630294411E-2</v>
      </c>
      <c r="AH84">
        <f t="shared" si="18"/>
        <v>0.10391745981943586</v>
      </c>
      <c r="AI84">
        <f t="shared" si="18"/>
        <v>0.10345896849945777</v>
      </c>
      <c r="AJ84">
        <f t="shared" si="18"/>
        <v>0.10018175418760629</v>
      </c>
      <c r="AK84">
        <f t="shared" si="18"/>
        <v>9.9990264568676906E-2</v>
      </c>
      <c r="AT84">
        <v>81</v>
      </c>
      <c r="AU84">
        <f t="shared" si="9"/>
        <v>0.27756017378935938</v>
      </c>
      <c r="AV84">
        <f t="shared" si="10"/>
        <v>1.7097576364540421</v>
      </c>
      <c r="AW84">
        <f t="shared" si="11"/>
        <v>1.6328038926949293</v>
      </c>
      <c r="AX84">
        <f t="shared" si="12"/>
        <v>1.6251660165638135</v>
      </c>
    </row>
    <row r="85" spans="19:50" x14ac:dyDescent="0.15">
      <c r="S85">
        <v>82</v>
      </c>
      <c r="T85">
        <f t="shared" ref="T85:X100" si="19">MeanOfUniform(T$3)</f>
        <v>0.78809082508087158</v>
      </c>
      <c r="U85">
        <f t="shared" si="19"/>
        <v>0.50170374512672422</v>
      </c>
      <c r="V85">
        <f t="shared" si="19"/>
        <v>0.50028441691398617</v>
      </c>
      <c r="W85">
        <f t="shared" si="19"/>
        <v>0.5061635392665863</v>
      </c>
      <c r="X85">
        <f t="shared" si="19"/>
        <v>0.49868550152778623</v>
      </c>
      <c r="AF85">
        <v>82</v>
      </c>
      <c r="AG85">
        <f t="shared" ref="AG85:AK100" si="20">MeanOfExp(AG$3,10)</f>
        <v>2.304615810278827E-3</v>
      </c>
      <c r="AH85">
        <f t="shared" si="20"/>
        <v>0.10488115592690507</v>
      </c>
      <c r="AI85">
        <f t="shared" si="20"/>
        <v>9.9865220627114587E-2</v>
      </c>
      <c r="AJ85">
        <f t="shared" si="20"/>
        <v>9.7848809555161037E-2</v>
      </c>
      <c r="AK85">
        <f t="shared" si="20"/>
        <v>0.1006278473930991</v>
      </c>
      <c r="AT85">
        <v>82</v>
      </c>
      <c r="AU85">
        <f t="shared" si="9"/>
        <v>1.60997035298089</v>
      </c>
      <c r="AV85">
        <f t="shared" si="10"/>
        <v>1.5164822782923799</v>
      </c>
      <c r="AW85">
        <f t="shared" si="11"/>
        <v>1.6726125689634488</v>
      </c>
      <c r="AX85">
        <f t="shared" si="12"/>
        <v>1.6114847189203456</v>
      </c>
    </row>
    <row r="86" spans="19:50" x14ac:dyDescent="0.15">
      <c r="S86">
        <v>83</v>
      </c>
      <c r="T86">
        <f t="shared" si="19"/>
        <v>0.54814571142196655</v>
      </c>
      <c r="U86">
        <f t="shared" si="19"/>
        <v>0.46056150794029238</v>
      </c>
      <c r="V86">
        <f t="shared" si="19"/>
        <v>0.49823505949974062</v>
      </c>
      <c r="W86">
        <f t="shared" si="19"/>
        <v>0.49786831669807435</v>
      </c>
      <c r="X86">
        <f t="shared" si="19"/>
        <v>0.50461154665946961</v>
      </c>
      <c r="AF86">
        <v>83</v>
      </c>
      <c r="AG86">
        <f t="shared" si="20"/>
        <v>0.40322351065353501</v>
      </c>
      <c r="AH86">
        <f t="shared" si="20"/>
        <v>0.10235478559396814</v>
      </c>
      <c r="AI86">
        <f t="shared" si="20"/>
        <v>0.1045639308229719</v>
      </c>
      <c r="AJ86">
        <f t="shared" si="20"/>
        <v>9.832124161824167E-2</v>
      </c>
      <c r="AK86">
        <f t="shared" si="20"/>
        <v>9.9887932976220561E-2</v>
      </c>
      <c r="AT86">
        <v>83</v>
      </c>
      <c r="AU86">
        <f t="shared" si="9"/>
        <v>8.573257948170046E-2</v>
      </c>
      <c r="AV86">
        <f t="shared" si="10"/>
        <v>1.5415250975752912</v>
      </c>
      <c r="AW86">
        <f t="shared" si="11"/>
        <v>1.5697438831153119</v>
      </c>
      <c r="AX86">
        <f t="shared" si="12"/>
        <v>1.6393921800555604</v>
      </c>
    </row>
    <row r="87" spans="19:50" x14ac:dyDescent="0.15">
      <c r="S87">
        <v>84</v>
      </c>
      <c r="T87">
        <f t="shared" si="19"/>
        <v>0.17076396942138672</v>
      </c>
      <c r="U87">
        <f t="shared" si="19"/>
        <v>0.48784769892692564</v>
      </c>
      <c r="V87">
        <f t="shared" si="19"/>
        <v>0.49211042714118958</v>
      </c>
      <c r="W87">
        <f t="shared" si="19"/>
        <v>0.50161812739372258</v>
      </c>
      <c r="X87">
        <f t="shared" si="19"/>
        <v>0.49803565354347229</v>
      </c>
      <c r="AF87">
        <v>84</v>
      </c>
      <c r="AG87">
        <f t="shared" si="20"/>
        <v>0.16440272380942461</v>
      </c>
      <c r="AH87">
        <f t="shared" si="20"/>
        <v>0.11664460424632278</v>
      </c>
      <c r="AI87">
        <f t="shared" si="20"/>
        <v>9.6311524165513487E-2</v>
      </c>
      <c r="AJ87">
        <f t="shared" si="20"/>
        <v>9.9251993053592696E-2</v>
      </c>
      <c r="AK87">
        <f t="shared" si="20"/>
        <v>0.10037274355161219</v>
      </c>
      <c r="AT87">
        <v>84</v>
      </c>
      <c r="AU87">
        <f t="shared" si="9"/>
        <v>1.9820038350912388</v>
      </c>
      <c r="AV87">
        <f t="shared" si="10"/>
        <v>1.7070306593909919</v>
      </c>
      <c r="AW87">
        <f t="shared" si="11"/>
        <v>1.6073469755472232</v>
      </c>
      <c r="AX87">
        <f t="shared" si="12"/>
        <v>1.6765951864539121</v>
      </c>
    </row>
    <row r="88" spans="19:50" x14ac:dyDescent="0.15">
      <c r="S88">
        <v>85</v>
      </c>
      <c r="T88">
        <f t="shared" si="19"/>
        <v>0.53129661083221436</v>
      </c>
      <c r="U88">
        <f t="shared" si="19"/>
        <v>0.51811495423316956</v>
      </c>
      <c r="V88">
        <f t="shared" si="19"/>
        <v>0.49683068156242371</v>
      </c>
      <c r="W88">
        <f t="shared" si="19"/>
        <v>0.50107761483192448</v>
      </c>
      <c r="X88">
        <f t="shared" si="19"/>
        <v>0.49320414052009581</v>
      </c>
      <c r="AF88">
        <v>85</v>
      </c>
      <c r="AG88">
        <f t="shared" si="20"/>
        <v>4.4256792122864777E-2</v>
      </c>
      <c r="AH88">
        <f t="shared" si="20"/>
        <v>0.1017501766165009</v>
      </c>
      <c r="AI88">
        <f t="shared" si="20"/>
        <v>0.10385563502527961</v>
      </c>
      <c r="AJ88">
        <f t="shared" si="20"/>
        <v>9.9105741325895086E-2</v>
      </c>
      <c r="AK88">
        <f t="shared" si="20"/>
        <v>9.9536129610536539E-2</v>
      </c>
      <c r="AT88">
        <v>85</v>
      </c>
      <c r="AU88">
        <f t="shared" si="9"/>
        <v>1.1298396301361735</v>
      </c>
      <c r="AV88">
        <f t="shared" si="10"/>
        <v>1.7905298047440303</v>
      </c>
      <c r="AW88">
        <f t="shared" si="11"/>
        <v>1.614569092378227</v>
      </c>
      <c r="AX88">
        <f t="shared" si="12"/>
        <v>1.6383019655408828</v>
      </c>
    </row>
    <row r="89" spans="19:50" x14ac:dyDescent="0.15">
      <c r="S89">
        <v>86</v>
      </c>
      <c r="T89">
        <f t="shared" si="19"/>
        <v>0.97479480504989624</v>
      </c>
      <c r="U89">
        <f t="shared" si="19"/>
        <v>0.46786070227622983</v>
      </c>
      <c r="V89">
        <f t="shared" si="19"/>
        <v>0.4971790087223053</v>
      </c>
      <c r="W89">
        <f t="shared" si="19"/>
        <v>0.51050173230171203</v>
      </c>
      <c r="X89">
        <f t="shared" si="19"/>
        <v>0.50378548769950871</v>
      </c>
      <c r="AF89">
        <v>86</v>
      </c>
      <c r="AG89">
        <f t="shared" si="20"/>
        <v>7.3365104616065324E-2</v>
      </c>
      <c r="AH89">
        <f t="shared" si="20"/>
        <v>0.10245350700223554</v>
      </c>
      <c r="AI89">
        <f t="shared" si="20"/>
        <v>9.4857852177675492E-2</v>
      </c>
      <c r="AJ89">
        <f t="shared" si="20"/>
        <v>0.10021341702731718</v>
      </c>
      <c r="AK89">
        <f t="shared" si="20"/>
        <v>9.9701911661687501E-2</v>
      </c>
      <c r="AT89">
        <v>86</v>
      </c>
      <c r="AU89">
        <f t="shared" ref="AU89:AU103" si="21">MeanOfLogNormal(AG$3,0,1)</f>
        <v>0.99646650689012117</v>
      </c>
      <c r="AV89">
        <f t="shared" ref="AV89:AV103" si="22">MeanOfLogNormal(AH$3,0,1)</f>
        <v>1.9579054522660657</v>
      </c>
      <c r="AW89">
        <f t="shared" ref="AW89:AW103" si="23">MeanOfLogNormal(AI$3,0,1)</f>
        <v>1.574459660567133</v>
      </c>
      <c r="AX89">
        <f t="shared" ref="AX89:AX103" si="24">MeanOfLogNormal(AJ$3,0,1)</f>
        <v>1.6326310473350862</v>
      </c>
    </row>
    <row r="90" spans="19:50" x14ac:dyDescent="0.15">
      <c r="S90">
        <v>87</v>
      </c>
      <c r="T90">
        <f t="shared" si="19"/>
        <v>0.76062297821044922</v>
      </c>
      <c r="U90">
        <f t="shared" si="19"/>
        <v>0.48868500828742983</v>
      </c>
      <c r="V90">
        <f t="shared" si="19"/>
        <v>0.49462100338935849</v>
      </c>
      <c r="W90">
        <f t="shared" si="19"/>
        <v>0.49287942194938661</v>
      </c>
      <c r="X90">
        <f t="shared" si="19"/>
        <v>0.50189314866065982</v>
      </c>
      <c r="AF90">
        <v>87</v>
      </c>
      <c r="AG90">
        <f t="shared" si="20"/>
        <v>1.5700262287855881E-2</v>
      </c>
      <c r="AH90">
        <f t="shared" si="20"/>
        <v>0.10164182723243019</v>
      </c>
      <c r="AI90">
        <f t="shared" si="20"/>
        <v>9.8080592212781342E-2</v>
      </c>
      <c r="AJ90">
        <f t="shared" si="20"/>
        <v>0.10073305667428152</v>
      </c>
      <c r="AK90">
        <f t="shared" si="20"/>
        <v>9.9168386738991948E-2</v>
      </c>
      <c r="AT90">
        <v>87</v>
      </c>
      <c r="AU90">
        <f t="shared" si="21"/>
        <v>0.63742270999970985</v>
      </c>
      <c r="AV90">
        <f t="shared" si="22"/>
        <v>1.7671729571550276</v>
      </c>
      <c r="AW90">
        <f t="shared" si="23"/>
        <v>1.5611127417317237</v>
      </c>
      <c r="AX90">
        <f t="shared" si="24"/>
        <v>1.7153600267329279</v>
      </c>
    </row>
    <row r="91" spans="19:50" x14ac:dyDescent="0.15">
      <c r="S91">
        <v>88</v>
      </c>
      <c r="T91">
        <f t="shared" si="19"/>
        <v>0.90805035829544067</v>
      </c>
      <c r="U91">
        <f t="shared" si="19"/>
        <v>0.48481109261512756</v>
      </c>
      <c r="V91">
        <f t="shared" si="19"/>
        <v>0.49745691752433779</v>
      </c>
      <c r="W91">
        <f t="shared" si="19"/>
        <v>0.49614565682411194</v>
      </c>
      <c r="X91">
        <f t="shared" si="19"/>
        <v>0.49499675803184512</v>
      </c>
      <c r="AF91">
        <v>88</v>
      </c>
      <c r="AG91">
        <f t="shared" si="20"/>
        <v>2.2134635865814878E-2</v>
      </c>
      <c r="AH91">
        <f t="shared" si="20"/>
        <v>9.5359254431049645E-2</v>
      </c>
      <c r="AI91">
        <f t="shared" si="20"/>
        <v>9.9122196677157243E-2</v>
      </c>
      <c r="AJ91">
        <f t="shared" si="20"/>
        <v>9.7818413215625621E-2</v>
      </c>
      <c r="AK91">
        <f t="shared" si="20"/>
        <v>0.10053840757002359</v>
      </c>
      <c r="AT91">
        <v>88</v>
      </c>
      <c r="AU91">
        <f t="shared" si="21"/>
        <v>1.9493079269311007</v>
      </c>
      <c r="AV91">
        <f t="shared" si="22"/>
        <v>1.6041594340218881</v>
      </c>
      <c r="AW91">
        <f t="shared" si="23"/>
        <v>1.6077370899909127</v>
      </c>
      <c r="AX91">
        <f t="shared" si="24"/>
        <v>1.6367824780402409</v>
      </c>
    </row>
    <row r="92" spans="19:50" x14ac:dyDescent="0.15">
      <c r="S92">
        <v>89</v>
      </c>
      <c r="T92">
        <f t="shared" si="19"/>
        <v>0.87611120939254761</v>
      </c>
      <c r="U92">
        <f t="shared" si="19"/>
        <v>0.4767966306209564</v>
      </c>
      <c r="V92">
        <f t="shared" si="19"/>
        <v>0.50137126946449284</v>
      </c>
      <c r="W92">
        <f t="shared" si="19"/>
        <v>0.49538427443504335</v>
      </c>
      <c r="X92">
        <f t="shared" si="19"/>
        <v>0.49817314066886903</v>
      </c>
      <c r="AF92">
        <v>89</v>
      </c>
      <c r="AG92">
        <f t="shared" si="20"/>
        <v>5.1516546365161661E-2</v>
      </c>
      <c r="AH92">
        <f t="shared" si="20"/>
        <v>9.3978743593168892E-2</v>
      </c>
      <c r="AI92">
        <f t="shared" si="20"/>
        <v>0.10447584262525587</v>
      </c>
      <c r="AJ92">
        <f t="shared" si="20"/>
        <v>9.9232093401530691E-2</v>
      </c>
      <c r="AK92">
        <f t="shared" si="20"/>
        <v>9.9466459741464577E-2</v>
      </c>
      <c r="AT92">
        <v>89</v>
      </c>
      <c r="AU92">
        <f t="shared" si="21"/>
        <v>5.5822307307176153</v>
      </c>
      <c r="AV92">
        <f t="shared" si="22"/>
        <v>1.6121337364938229</v>
      </c>
      <c r="AW92">
        <f t="shared" si="23"/>
        <v>1.6632059453193291</v>
      </c>
      <c r="AX92">
        <f t="shared" si="24"/>
        <v>1.6503324373285331</v>
      </c>
    </row>
    <row r="93" spans="19:50" x14ac:dyDescent="0.15">
      <c r="S93">
        <v>90</v>
      </c>
      <c r="T93">
        <f t="shared" si="19"/>
        <v>9.7847938537597656E-2</v>
      </c>
      <c r="U93">
        <f t="shared" si="19"/>
        <v>0.46982941746711732</v>
      </c>
      <c r="V93">
        <f t="shared" si="19"/>
        <v>0.52217732787132265</v>
      </c>
      <c r="W93">
        <f t="shared" si="19"/>
        <v>0.49981166110038755</v>
      </c>
      <c r="X93">
        <f t="shared" si="19"/>
        <v>0.50120758042335511</v>
      </c>
      <c r="AF93">
        <v>90</v>
      </c>
      <c r="AG93">
        <f t="shared" si="20"/>
        <v>0.29457063210017859</v>
      </c>
      <c r="AH93">
        <f t="shared" si="20"/>
        <v>9.693732601397248E-2</v>
      </c>
      <c r="AI93">
        <f t="shared" si="20"/>
        <v>9.6770892916569068E-2</v>
      </c>
      <c r="AJ93">
        <f t="shared" si="20"/>
        <v>0.10017027330988706</v>
      </c>
      <c r="AK93">
        <f t="shared" si="20"/>
        <v>0.10250856694037457</v>
      </c>
      <c r="AT93">
        <v>90</v>
      </c>
      <c r="AU93">
        <f t="shared" si="21"/>
        <v>0.66949235944005947</v>
      </c>
      <c r="AV93">
        <f t="shared" si="22"/>
        <v>1.5162418225067515</v>
      </c>
      <c r="AW93">
        <f t="shared" si="23"/>
        <v>1.6717019382255616</v>
      </c>
      <c r="AX93">
        <f t="shared" si="24"/>
        <v>1.5993089726182419</v>
      </c>
    </row>
    <row r="94" spans="19:50" x14ac:dyDescent="0.15">
      <c r="S94">
        <v>91</v>
      </c>
      <c r="T94">
        <f t="shared" si="19"/>
        <v>0.92082196474075317</v>
      </c>
      <c r="U94">
        <f t="shared" si="19"/>
        <v>0.51177489161491396</v>
      </c>
      <c r="V94">
        <f t="shared" si="19"/>
        <v>0.51216324114799494</v>
      </c>
      <c r="W94">
        <f t="shared" si="19"/>
        <v>0.49948748116493225</v>
      </c>
      <c r="X94">
        <f t="shared" si="19"/>
        <v>0.50456392111778259</v>
      </c>
      <c r="AF94">
        <v>91</v>
      </c>
      <c r="AG94">
        <f t="shared" si="20"/>
        <v>1.7719754952992876E-2</v>
      </c>
      <c r="AH94">
        <f t="shared" si="20"/>
        <v>0.10511145732947312</v>
      </c>
      <c r="AI94">
        <f t="shared" si="20"/>
        <v>9.7552845965688834E-2</v>
      </c>
      <c r="AJ94">
        <f t="shared" si="20"/>
        <v>9.791972039365307E-2</v>
      </c>
      <c r="AK94">
        <f t="shared" si="20"/>
        <v>0.10111262432646809</v>
      </c>
      <c r="AT94">
        <v>91</v>
      </c>
      <c r="AU94">
        <f t="shared" si="21"/>
        <v>2.5464924177735799</v>
      </c>
      <c r="AV94">
        <f t="shared" si="22"/>
        <v>1.6825593037224902</v>
      </c>
      <c r="AW94">
        <f t="shared" si="23"/>
        <v>1.6990441030062247</v>
      </c>
      <c r="AX94">
        <f t="shared" si="24"/>
        <v>1.6374492458419632</v>
      </c>
    </row>
    <row r="95" spans="19:50" x14ac:dyDescent="0.15">
      <c r="S95">
        <v>92</v>
      </c>
      <c r="T95">
        <f t="shared" si="19"/>
        <v>0.98027408123016357</v>
      </c>
      <c r="U95">
        <f t="shared" si="19"/>
        <v>0.47761924147605894</v>
      </c>
      <c r="V95">
        <f t="shared" si="19"/>
        <v>0.49289405083656312</v>
      </c>
      <c r="W95">
        <f t="shared" si="19"/>
        <v>0.49357917189598083</v>
      </c>
      <c r="X95">
        <f t="shared" si="19"/>
        <v>0.49998913960456848</v>
      </c>
      <c r="AF95">
        <v>92</v>
      </c>
      <c r="AG95">
        <f t="shared" si="20"/>
        <v>0.23553931909343828</v>
      </c>
      <c r="AH95">
        <f t="shared" si="20"/>
        <v>0.11182407136730353</v>
      </c>
      <c r="AI95">
        <f t="shared" si="20"/>
        <v>0.10217879899070076</v>
      </c>
      <c r="AJ95">
        <f t="shared" si="20"/>
        <v>0.10027287633175683</v>
      </c>
      <c r="AK95">
        <f t="shared" si="20"/>
        <v>9.9476323951686277E-2</v>
      </c>
      <c r="AT95">
        <v>92</v>
      </c>
      <c r="AU95">
        <f t="shared" si="21"/>
        <v>0.76656477518120414</v>
      </c>
      <c r="AV95">
        <f t="shared" si="22"/>
        <v>1.4709013404334765</v>
      </c>
      <c r="AW95">
        <f t="shared" si="23"/>
        <v>1.692928915017005</v>
      </c>
      <c r="AX95">
        <f t="shared" si="24"/>
        <v>1.6216188932331519</v>
      </c>
    </row>
    <row r="96" spans="19:50" x14ac:dyDescent="0.15">
      <c r="S96">
        <v>93</v>
      </c>
      <c r="T96">
        <f t="shared" si="19"/>
        <v>7.6765775680541992E-2</v>
      </c>
      <c r="U96">
        <f t="shared" si="19"/>
        <v>0.53922097325325014</v>
      </c>
      <c r="V96">
        <f t="shared" si="19"/>
        <v>0.50494331908226009</v>
      </c>
      <c r="W96">
        <f t="shared" si="19"/>
        <v>0.4950887089252472</v>
      </c>
      <c r="X96">
        <f t="shared" si="19"/>
        <v>0.5001634478092194</v>
      </c>
      <c r="AF96">
        <v>93</v>
      </c>
      <c r="AG96">
        <f t="shared" si="20"/>
        <v>9.9084626540680482E-2</v>
      </c>
      <c r="AH96">
        <f t="shared" si="20"/>
        <v>9.8272678726757587E-2</v>
      </c>
      <c r="AI96">
        <f t="shared" si="20"/>
        <v>9.3924261448249238E-2</v>
      </c>
      <c r="AJ96">
        <f t="shared" si="20"/>
        <v>9.7494018208296743E-2</v>
      </c>
      <c r="AK96">
        <f t="shared" si="20"/>
        <v>9.9588971493069903E-2</v>
      </c>
      <c r="AT96">
        <v>93</v>
      </c>
      <c r="AU96">
        <f t="shared" si="21"/>
        <v>2.6339410951148707</v>
      </c>
      <c r="AV96">
        <f t="shared" si="22"/>
        <v>2.0803207698905313</v>
      </c>
      <c r="AW96">
        <f t="shared" si="23"/>
        <v>1.6013238818224691</v>
      </c>
      <c r="AX96">
        <f t="shared" si="24"/>
        <v>1.6605704854602383</v>
      </c>
    </row>
    <row r="97" spans="19:50" x14ac:dyDescent="0.15">
      <c r="S97">
        <v>94</v>
      </c>
      <c r="T97">
        <f t="shared" si="19"/>
        <v>0.18153172731399536</v>
      </c>
      <c r="U97">
        <f t="shared" si="19"/>
        <v>0.50823912501335144</v>
      </c>
      <c r="V97">
        <f t="shared" si="19"/>
        <v>0.51179377102851864</v>
      </c>
      <c r="W97">
        <f t="shared" si="19"/>
        <v>0.50064479508399962</v>
      </c>
      <c r="X97">
        <f t="shared" si="19"/>
        <v>0.49872221274375916</v>
      </c>
      <c r="AF97">
        <v>94</v>
      </c>
      <c r="AG97">
        <f t="shared" si="20"/>
        <v>5.616866290537835E-2</v>
      </c>
      <c r="AH97">
        <f t="shared" si="20"/>
        <v>9.0901223506348855E-2</v>
      </c>
      <c r="AI97">
        <f t="shared" si="20"/>
        <v>9.7935529183705489E-2</v>
      </c>
      <c r="AJ97">
        <f t="shared" si="20"/>
        <v>0.10224439643817185</v>
      </c>
      <c r="AK97">
        <f t="shared" si="20"/>
        <v>9.8115210680226286E-2</v>
      </c>
      <c r="AT97">
        <v>94</v>
      </c>
      <c r="AU97">
        <f t="shared" si="21"/>
        <v>1.0234799412273026</v>
      </c>
      <c r="AV97">
        <f t="shared" si="22"/>
        <v>1.7042105648936596</v>
      </c>
      <c r="AW97">
        <f t="shared" si="23"/>
        <v>1.5334743239635042</v>
      </c>
      <c r="AX97">
        <f t="shared" si="24"/>
        <v>1.6487939247062542</v>
      </c>
    </row>
    <row r="98" spans="19:50" x14ac:dyDescent="0.15">
      <c r="S98">
        <v>95</v>
      </c>
      <c r="T98">
        <f t="shared" si="19"/>
        <v>0.42401492595672607</v>
      </c>
      <c r="U98">
        <f t="shared" si="19"/>
        <v>0.50219363808631901</v>
      </c>
      <c r="V98">
        <f t="shared" si="19"/>
        <v>0.50351319336891176</v>
      </c>
      <c r="W98">
        <f t="shared" si="19"/>
        <v>0.50732755141258234</v>
      </c>
      <c r="X98">
        <f t="shared" si="19"/>
        <v>0.49792339253425599</v>
      </c>
      <c r="AF98">
        <v>95</v>
      </c>
      <c r="AG98">
        <f t="shared" si="20"/>
        <v>3.8737107626123958E-2</v>
      </c>
      <c r="AH98">
        <f t="shared" si="20"/>
        <v>0.10398597824646191</v>
      </c>
      <c r="AI98">
        <f t="shared" si="20"/>
        <v>0.10008380486499797</v>
      </c>
      <c r="AJ98">
        <f t="shared" si="20"/>
        <v>0.10144090847955241</v>
      </c>
      <c r="AK98">
        <f t="shared" si="20"/>
        <v>9.9278248547084599E-2</v>
      </c>
      <c r="AT98">
        <v>95</v>
      </c>
      <c r="AU98">
        <f t="shared" si="21"/>
        <v>0.42648945090224483</v>
      </c>
      <c r="AV98">
        <f t="shared" si="22"/>
        <v>1.6510461856997083</v>
      </c>
      <c r="AW98">
        <f t="shared" si="23"/>
        <v>1.8250665768189809</v>
      </c>
      <c r="AX98">
        <f t="shared" si="24"/>
        <v>1.6716521960082977</v>
      </c>
    </row>
    <row r="99" spans="19:50" x14ac:dyDescent="0.15">
      <c r="S99">
        <v>96</v>
      </c>
      <c r="T99">
        <f t="shared" si="19"/>
        <v>0.7266504168510437</v>
      </c>
      <c r="U99">
        <f t="shared" si="19"/>
        <v>0.50242643475532534</v>
      </c>
      <c r="V99">
        <f t="shared" si="19"/>
        <v>0.49257773375511171</v>
      </c>
      <c r="W99">
        <f t="shared" si="19"/>
        <v>0.49483663372993469</v>
      </c>
      <c r="X99">
        <f t="shared" si="19"/>
        <v>0.50341932749748231</v>
      </c>
      <c r="AF99">
        <v>96</v>
      </c>
      <c r="AG99">
        <f t="shared" si="20"/>
        <v>2.7145339506733264E-2</v>
      </c>
      <c r="AH99">
        <f t="shared" si="20"/>
        <v>8.9901847924393027E-2</v>
      </c>
      <c r="AI99">
        <f t="shared" si="20"/>
        <v>9.886191737016746E-2</v>
      </c>
      <c r="AJ99">
        <f t="shared" si="20"/>
        <v>9.9876145465070648E-2</v>
      </c>
      <c r="AK99">
        <f t="shared" si="20"/>
        <v>9.8970905234299175E-2</v>
      </c>
      <c r="AT99">
        <v>96</v>
      </c>
      <c r="AU99">
        <f t="shared" si="21"/>
        <v>4.2733616092712108</v>
      </c>
      <c r="AV99">
        <f t="shared" si="22"/>
        <v>1.6572047767218612</v>
      </c>
      <c r="AW99">
        <f t="shared" si="23"/>
        <v>1.5238884143449525</v>
      </c>
      <c r="AX99">
        <f t="shared" si="24"/>
        <v>1.6688218452164318</v>
      </c>
    </row>
    <row r="100" spans="19:50" x14ac:dyDescent="0.15">
      <c r="S100">
        <v>97</v>
      </c>
      <c r="T100">
        <f t="shared" si="19"/>
        <v>0.10479217767715454</v>
      </c>
      <c r="U100">
        <f t="shared" si="19"/>
        <v>0.46031897425651552</v>
      </c>
      <c r="V100">
        <f t="shared" si="19"/>
        <v>0.49914716458320618</v>
      </c>
      <c r="W100">
        <f t="shared" si="19"/>
        <v>0.50809429812431339</v>
      </c>
      <c r="X100">
        <f t="shared" si="19"/>
        <v>0.50441612486839293</v>
      </c>
      <c r="AF100">
        <v>97</v>
      </c>
      <c r="AG100">
        <f t="shared" si="20"/>
        <v>0.11148977539062739</v>
      </c>
      <c r="AH100">
        <f t="shared" si="20"/>
        <v>0.11219010582209893</v>
      </c>
      <c r="AI100">
        <f t="shared" si="20"/>
        <v>0.10438247228764791</v>
      </c>
      <c r="AJ100">
        <f t="shared" si="20"/>
        <v>0.10246022583571578</v>
      </c>
      <c r="AK100">
        <f t="shared" si="20"/>
        <v>0.10058287200780901</v>
      </c>
      <c r="AT100">
        <v>97</v>
      </c>
      <c r="AU100">
        <f t="shared" si="21"/>
        <v>1.1214171364696803</v>
      </c>
      <c r="AV100">
        <f t="shared" si="22"/>
        <v>1.7744814733953009</v>
      </c>
      <c r="AW100">
        <f t="shared" si="23"/>
        <v>1.7689868428857658</v>
      </c>
      <c r="AX100">
        <f t="shared" si="24"/>
        <v>1.6393087897865306</v>
      </c>
    </row>
    <row r="101" spans="19:50" x14ac:dyDescent="0.15">
      <c r="S101">
        <v>98</v>
      </c>
      <c r="T101">
        <f t="shared" ref="T101:X103" si="25">MeanOfUniform(T$3)</f>
        <v>0.87392604351043701</v>
      </c>
      <c r="U101">
        <f t="shared" si="25"/>
        <v>0.46572574257850646</v>
      </c>
      <c r="V101">
        <f t="shared" si="25"/>
        <v>0.50486545825004581</v>
      </c>
      <c r="W101">
        <f t="shared" si="25"/>
        <v>0.49244627432823179</v>
      </c>
      <c r="X101">
        <f t="shared" si="25"/>
        <v>0.49885801472663882</v>
      </c>
      <c r="AF101">
        <v>98</v>
      </c>
      <c r="AG101">
        <f t="shared" ref="AG101:AK103" si="26">MeanOfExp(AG$3,10)</f>
        <v>2.7991388975914556E-2</v>
      </c>
      <c r="AH101">
        <f t="shared" si="26"/>
        <v>9.1210334207533605E-2</v>
      </c>
      <c r="AI101">
        <f t="shared" si="26"/>
        <v>0.10194763294670341</v>
      </c>
      <c r="AJ101">
        <f t="shared" si="26"/>
        <v>9.9971656833501316E-2</v>
      </c>
      <c r="AK101">
        <f t="shared" si="26"/>
        <v>9.989594418701371E-2</v>
      </c>
      <c r="AT101">
        <v>98</v>
      </c>
      <c r="AU101">
        <f t="shared" si="21"/>
        <v>1.7019009630504645</v>
      </c>
      <c r="AV101">
        <f t="shared" si="22"/>
        <v>1.8207601935960467</v>
      </c>
      <c r="AW101">
        <f t="shared" si="23"/>
        <v>1.7207435195101264</v>
      </c>
      <c r="AX101">
        <f t="shared" si="24"/>
        <v>1.6111720549203208</v>
      </c>
    </row>
    <row r="102" spans="19:50" x14ac:dyDescent="0.15">
      <c r="S102">
        <v>99</v>
      </c>
      <c r="T102">
        <f t="shared" si="25"/>
        <v>0.1572687029838562</v>
      </c>
      <c r="U102">
        <f t="shared" si="25"/>
        <v>0.48904612898826599</v>
      </c>
      <c r="V102">
        <f t="shared" si="25"/>
        <v>0.49121263098716733</v>
      </c>
      <c r="W102">
        <f t="shared" si="25"/>
        <v>0.49728732037544249</v>
      </c>
      <c r="X102">
        <f t="shared" si="25"/>
        <v>0.4969827796459198</v>
      </c>
      <c r="AF102">
        <v>99</v>
      </c>
      <c r="AG102">
        <f t="shared" si="26"/>
        <v>0.21074534129083133</v>
      </c>
      <c r="AH102">
        <f t="shared" si="26"/>
        <v>0.1151861561432303</v>
      </c>
      <c r="AI102">
        <f t="shared" si="26"/>
        <v>0.10385500581852011</v>
      </c>
      <c r="AJ102">
        <f t="shared" si="26"/>
        <v>0.10129926020901789</v>
      </c>
      <c r="AK102">
        <f t="shared" si="26"/>
        <v>0.10056735958868328</v>
      </c>
      <c r="AT102">
        <v>99</v>
      </c>
      <c r="AU102">
        <f t="shared" si="21"/>
        <v>3.2244134061384631</v>
      </c>
      <c r="AV102">
        <f t="shared" si="22"/>
        <v>1.5907804217853061</v>
      </c>
      <c r="AW102">
        <f t="shared" si="23"/>
        <v>1.716166747256634</v>
      </c>
      <c r="AX102">
        <f t="shared" si="24"/>
        <v>1.6805323512108876</v>
      </c>
    </row>
    <row r="103" spans="19:50" x14ac:dyDescent="0.15">
      <c r="S103">
        <v>100</v>
      </c>
      <c r="T103">
        <f t="shared" si="25"/>
        <v>0.86943984031677246</v>
      </c>
      <c r="U103">
        <f t="shared" si="25"/>
        <v>0.43622238039970396</v>
      </c>
      <c r="V103">
        <f t="shared" si="25"/>
        <v>0.50973427700996399</v>
      </c>
      <c r="W103">
        <f t="shared" si="25"/>
        <v>0.50240110964775087</v>
      </c>
      <c r="X103">
        <f t="shared" si="25"/>
        <v>0.49855658898353578</v>
      </c>
      <c r="AF103">
        <v>100</v>
      </c>
      <c r="AG103">
        <f t="shared" si="26"/>
        <v>9.8265861556903651E-3</v>
      </c>
      <c r="AH103">
        <f t="shared" si="26"/>
        <v>0.10487409350928679</v>
      </c>
      <c r="AI103">
        <f t="shared" si="26"/>
        <v>9.9686030333750605E-2</v>
      </c>
      <c r="AJ103">
        <f t="shared" si="26"/>
        <v>9.9951135654841039E-2</v>
      </c>
      <c r="AK103">
        <f t="shared" si="26"/>
        <v>9.8873128076313557E-2</v>
      </c>
      <c r="AT103">
        <v>100</v>
      </c>
      <c r="AU103">
        <f t="shared" si="21"/>
        <v>0.67044353032663695</v>
      </c>
      <c r="AV103">
        <f t="shared" si="22"/>
        <v>1.6128913462673835</v>
      </c>
      <c r="AW103">
        <f t="shared" si="23"/>
        <v>1.7626387847229885</v>
      </c>
      <c r="AX103">
        <f t="shared" si="24"/>
        <v>1.6374366932459108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118"/>
  <sheetViews>
    <sheetView tabSelected="1" workbookViewId="0">
      <selection activeCell="C2" sqref="C2:D7"/>
    </sheetView>
  </sheetViews>
  <sheetFormatPr defaultRowHeight="13.5" x14ac:dyDescent="0.15"/>
  <cols>
    <col min="1" max="1" width="13.125" bestFit="1" customWidth="1"/>
    <col min="7" max="9" width="12.75" bestFit="1" customWidth="1"/>
    <col min="15" max="15" width="13.125" bestFit="1" customWidth="1"/>
  </cols>
  <sheetData>
    <row r="2" spans="1:20" x14ac:dyDescent="0.15">
      <c r="C2" s="3" t="s">
        <v>2</v>
      </c>
      <c r="D2" s="3">
        <v>100</v>
      </c>
      <c r="I2" t="s">
        <v>11</v>
      </c>
      <c r="Q2" s="3" t="s">
        <v>2</v>
      </c>
      <c r="R2" s="3">
        <v>100</v>
      </c>
    </row>
    <row r="3" spans="1:20" x14ac:dyDescent="0.15">
      <c r="C3" s="3" t="s">
        <v>6</v>
      </c>
      <c r="D3" s="3">
        <v>0</v>
      </c>
      <c r="F3" t="s">
        <v>7</v>
      </c>
      <c r="G3">
        <f>AnalyticCall(D2,D3,D4,D5,D6)</f>
        <v>22.849260551280278</v>
      </c>
      <c r="I3" s="3" t="s">
        <v>16</v>
      </c>
      <c r="J3" s="22">
        <v>0.95</v>
      </c>
      <c r="Q3" s="3" t="s">
        <v>6</v>
      </c>
      <c r="R3" s="3">
        <v>0</v>
      </c>
    </row>
    <row r="4" spans="1:20" x14ac:dyDescent="0.15">
      <c r="C4" s="3" t="s">
        <v>4</v>
      </c>
      <c r="D4" s="3">
        <v>0.3</v>
      </c>
      <c r="I4" s="23" t="s">
        <v>22</v>
      </c>
      <c r="J4" s="23">
        <v>100</v>
      </c>
      <c r="Q4" s="3" t="s">
        <v>4</v>
      </c>
      <c r="R4" s="3">
        <v>0.3</v>
      </c>
    </row>
    <row r="5" spans="1:20" x14ac:dyDescent="0.15">
      <c r="C5" s="3" t="s">
        <v>3</v>
      </c>
      <c r="D5" s="3">
        <v>110</v>
      </c>
      <c r="I5" s="3"/>
      <c r="J5" s="3" t="s">
        <v>14</v>
      </c>
      <c r="K5" s="3" t="s">
        <v>15</v>
      </c>
      <c r="Q5" s="3" t="s">
        <v>3</v>
      </c>
      <c r="R5" s="3">
        <v>110</v>
      </c>
    </row>
    <row r="6" spans="1:20" x14ac:dyDescent="0.15">
      <c r="C6" s="3" t="s">
        <v>5</v>
      </c>
      <c r="D6" s="3">
        <v>5</v>
      </c>
      <c r="I6" s="3" t="s">
        <v>12</v>
      </c>
      <c r="J6" s="24">
        <f>_xlfn.T.INV((1-$D$8)/2,100-1)</f>
        <v>-1.9842169515864165</v>
      </c>
      <c r="K6" s="24">
        <f>_xlfn.T.INV($D$8+(1-$D$8)/2,100-1)</f>
        <v>1.9842169515864165</v>
      </c>
      <c r="Q6" s="3" t="s">
        <v>5</v>
      </c>
      <c r="R6" s="3">
        <v>5</v>
      </c>
    </row>
    <row r="7" spans="1:20" x14ac:dyDescent="0.15">
      <c r="C7" s="25" t="s">
        <v>23</v>
      </c>
      <c r="D7" s="3">
        <f>AnalyticCall(D2,D3,D4,D5,D6)</f>
        <v>22.849260551280278</v>
      </c>
      <c r="I7" s="3" t="s">
        <v>13</v>
      </c>
      <c r="J7" s="24">
        <f>_xlfn.NORM.S.INV((1-D8)/2)</f>
        <v>-1.9599639845400536</v>
      </c>
      <c r="K7" s="24">
        <f>_xlfn.NORM.S.INV(D8+(1-D8)/2)</f>
        <v>1.9599639845400536</v>
      </c>
      <c r="Q7" s="25" t="s">
        <v>24</v>
      </c>
      <c r="R7" s="3">
        <f>AnalyticBinaryCall(R2,R3,R4,R5,R6)</f>
        <v>0.31650654029670683</v>
      </c>
    </row>
    <row r="8" spans="1:20" ht="14.25" thickBot="1" x14ac:dyDescent="0.2">
      <c r="C8" s="4"/>
      <c r="D8" s="5">
        <v>0.95</v>
      </c>
      <c r="Q8" s="4"/>
      <c r="R8" s="4"/>
    </row>
    <row r="9" spans="1:20" ht="14.25" thickBot="1" x14ac:dyDescent="0.2">
      <c r="A9" s="21" t="s">
        <v>21</v>
      </c>
      <c r="B9" s="20">
        <v>10</v>
      </c>
      <c r="C9" s="18">
        <v>100</v>
      </c>
      <c r="D9" s="18">
        <v>1000</v>
      </c>
      <c r="E9" s="18">
        <v>5000</v>
      </c>
      <c r="F9" s="19">
        <v>10000</v>
      </c>
      <c r="H9" s="21" t="s">
        <v>21</v>
      </c>
      <c r="I9" s="20">
        <v>10</v>
      </c>
      <c r="J9" s="18">
        <v>100</v>
      </c>
      <c r="K9" s="18">
        <v>1000</v>
      </c>
      <c r="L9" s="18">
        <v>5000</v>
      </c>
      <c r="M9" s="19">
        <v>10000</v>
      </c>
      <c r="O9" s="21" t="s">
        <v>21</v>
      </c>
      <c r="P9" s="20">
        <v>10</v>
      </c>
      <c r="Q9" s="18">
        <v>100</v>
      </c>
      <c r="R9" s="18">
        <v>1000</v>
      </c>
      <c r="S9" s="18">
        <v>5000</v>
      </c>
      <c r="T9" s="19">
        <v>10000</v>
      </c>
    </row>
    <row r="10" spans="1:20" x14ac:dyDescent="0.15">
      <c r="A10" s="8" t="s">
        <v>9</v>
      </c>
      <c r="B10" s="9">
        <f>AVERAGE(B19:B118)</f>
        <v>21.569507598025929</v>
      </c>
      <c r="C10" s="10">
        <f>AVERAGE(C19:C118)</f>
        <v>22.522667266045133</v>
      </c>
      <c r="D10" s="10">
        <f>AVERAGE(D19:D118)</f>
        <v>22.817324718216366</v>
      </c>
      <c r="E10" s="10">
        <f>AVERAGE(E19:E118)</f>
        <v>22.822880364173493</v>
      </c>
      <c r="F10" s="17">
        <f>AVERAGE(F19:F118)</f>
        <v>22.821339891982806</v>
      </c>
      <c r="H10" s="8" t="s">
        <v>9</v>
      </c>
      <c r="I10" s="9">
        <f>AVERAGE(I19:I118)</f>
        <v>0.8571428571428571</v>
      </c>
      <c r="J10" s="10">
        <f>AVERAGE(J19:J118)</f>
        <v>1.2857142857142858</v>
      </c>
      <c r="K10" s="10">
        <f>AVERAGE(K19:K118)</f>
        <v>1.2857142857142858</v>
      </c>
      <c r="L10" s="10">
        <f>AVERAGE(L19:L118)</f>
        <v>1.2857142857142858</v>
      </c>
      <c r="M10" s="17">
        <f>AVERAGE(M19:M118)</f>
        <v>1.2857142857142858</v>
      </c>
      <c r="O10" s="8" t="s">
        <v>9</v>
      </c>
      <c r="P10" s="9">
        <f>AVERAGE(P19:P118)</f>
        <v>0.29666666666666658</v>
      </c>
      <c r="Q10" s="10">
        <f>AVERAGE(Q19:Q118)</f>
        <v>0.32377777777777772</v>
      </c>
      <c r="R10" s="10">
        <f>AVERAGE(R19:R118)</f>
        <v>0.3156000000000001</v>
      </c>
      <c r="S10" s="10">
        <f>AVERAGE(S19:S118)</f>
        <v>0.31580666666666674</v>
      </c>
      <c r="T10" s="17">
        <f>AVERAGE(T19:T118)</f>
        <v>0.3161633333333333</v>
      </c>
    </row>
    <row r="11" spans="1:20" ht="14.25" thickBot="1" x14ac:dyDescent="0.2">
      <c r="A11" s="7" t="s">
        <v>10</v>
      </c>
      <c r="B11" s="14">
        <f>_xlfn.STDEV.S(B19:B118)</f>
        <v>16.985707017869622</v>
      </c>
      <c r="C11" s="15">
        <f>_xlfn.STDEV.S(C19:C118)</f>
        <v>5.991187677023083</v>
      </c>
      <c r="D11" s="15">
        <f>_xlfn.STDEV.S(D19:D118)</f>
        <v>1.7726857015938335</v>
      </c>
      <c r="E11" s="15">
        <f>_xlfn.STDEV.S(E19:E118)</f>
        <v>0.82696475515464873</v>
      </c>
      <c r="F11" s="16">
        <f>_xlfn.STDEV.S(F19:F118)</f>
        <v>0.62470464287656013</v>
      </c>
      <c r="H11" s="7" t="s">
        <v>10</v>
      </c>
      <c r="I11" s="14">
        <f>_xlfn.STDEV.S(I19:I118)</f>
        <v>0.96737676495924929</v>
      </c>
      <c r="J11" s="15">
        <f>_xlfn.STDEV.S(J19:J118)</f>
        <v>1.4360055018147513</v>
      </c>
      <c r="K11" s="15">
        <f>_xlfn.STDEV.S(K19:K118)</f>
        <v>2.8342770319776189</v>
      </c>
      <c r="L11" s="15">
        <f>_xlfn.STDEV.S(L19:L118)</f>
        <v>4.3941425344242573</v>
      </c>
      <c r="M11" s="16">
        <f>_xlfn.STDEV.S(M19:M118)</f>
        <v>4.7277866781091129</v>
      </c>
      <c r="O11" s="7" t="s">
        <v>10</v>
      </c>
      <c r="P11" s="14">
        <f>_xlfn.STDEV.S(P19:P118)</f>
        <v>0.13775894921887147</v>
      </c>
      <c r="Q11" s="15">
        <f>_xlfn.STDEV.S(Q19:Q118)</f>
        <v>4.8888264665179149E-2</v>
      </c>
      <c r="R11" s="15">
        <f>_xlfn.STDEV.S(R19:R118)</f>
        <v>1.6882142683114425E-2</v>
      </c>
      <c r="S11" s="15">
        <f>_xlfn.STDEV.S(S19:S118)</f>
        <v>6.6031963659421069E-3</v>
      </c>
      <c r="T11" s="16">
        <f>_xlfn.STDEV.S(T19:T118)</f>
        <v>4.0235947368915722E-3</v>
      </c>
    </row>
    <row r="12" spans="1:20" x14ac:dyDescent="0.15">
      <c r="A12" s="6" t="s">
        <v>17</v>
      </c>
      <c r="B12" s="11">
        <f>B$10+$J$6*B$11/SQRT($J$4)</f>
        <v>18.199174818072201</v>
      </c>
      <c r="C12" s="12">
        <f>C$10+$J$6*C$11/SQRT($J$4)</f>
        <v>21.333885651156649</v>
      </c>
      <c r="D12" s="12">
        <f>D$10+$J$6*D$11/SQRT($J$4)</f>
        <v>22.465585416322632</v>
      </c>
      <c r="E12" s="12">
        <f>E$10+$J$6*E$11/SQRT($J$4)</f>
        <v>22.658792615619255</v>
      </c>
      <c r="F12" s="13">
        <f>F$10+$J$6*F$11/SQRT($J$4)</f>
        <v>22.697384937769765</v>
      </c>
      <c r="H12" s="6" t="s">
        <v>17</v>
      </c>
      <c r="I12" s="11">
        <f>I$10+$J$6*I$11/SQRT($J$4)</f>
        <v>0.66519431958256003</v>
      </c>
      <c r="J12" s="12">
        <f>J$10+$J$6*J$11/SQRT($J$4)</f>
        <v>1.000779639787067</v>
      </c>
      <c r="K12" s="12">
        <f>K$10+$J$6*K$11/SQRT($J$4)</f>
        <v>0.72333223248008305</v>
      </c>
      <c r="L12" s="12">
        <f>L$10+$J$6*L$11/SQRT($J$4)</f>
        <v>0.4138210752651349</v>
      </c>
      <c r="M12" s="13">
        <f>M$10+$J$6*M$11/SQRT($J$4)</f>
        <v>0.34761883869543242</v>
      </c>
      <c r="O12" s="6" t="s">
        <v>17</v>
      </c>
      <c r="P12" s="11">
        <f>P$10+$J$6*P$11/SQRT($J$4)</f>
        <v>0.26933230243938489</v>
      </c>
      <c r="Q12" s="12">
        <f>Q$10+$J$6*Q$11/SQRT($J$4)</f>
        <v>0.31407728542954855</v>
      </c>
      <c r="R12" s="12">
        <f>R$10+$J$6*R$11/SQRT($J$4)</f>
        <v>0.31225021663090646</v>
      </c>
      <c r="S12" s="12">
        <f>S$10+$J$6*S$11/SQRT($J$4)</f>
        <v>0.31449644925027109</v>
      </c>
      <c r="T12" s="13">
        <f>T$10+$J$6*T$11/SQRT($J$4)</f>
        <v>0.31536496484500787</v>
      </c>
    </row>
    <row r="13" spans="1:20" ht="14.25" thickBot="1" x14ac:dyDescent="0.2">
      <c r="A13" s="7" t="s">
        <v>18</v>
      </c>
      <c r="B13" s="14">
        <f>B$10+$K$6*B$11/SQRT($J$4)</f>
        <v>24.939840377979657</v>
      </c>
      <c r="C13" s="15">
        <f>C$10+$K$6*C$11/SQRT($J$4)</f>
        <v>23.711448880933617</v>
      </c>
      <c r="D13" s="15">
        <f>D$10+$K$6*D$11/SQRT($J$4)</f>
        <v>23.169064020110099</v>
      </c>
      <c r="E13" s="15">
        <f>E$10+$K$6*E$11/SQRT($J$4)</f>
        <v>22.98696811272773</v>
      </c>
      <c r="F13" s="16">
        <f>F$10+$K$6*F$11/SQRT($J$4)</f>
        <v>22.945294846195846</v>
      </c>
      <c r="H13" s="7" t="s">
        <v>18</v>
      </c>
      <c r="I13" s="14">
        <f>I$10+$K$6*I$11/SQRT($J$4)</f>
        <v>1.0490913947031542</v>
      </c>
      <c r="J13" s="15">
        <f>J$10+$K$6*J$11/SQRT($J$4)</f>
        <v>1.5706489316415047</v>
      </c>
      <c r="K13" s="15">
        <f>K$10+$K$6*K$11/SQRT($J$4)</f>
        <v>1.8480963389484886</v>
      </c>
      <c r="L13" s="15">
        <f>L$10+$K$6*L$11/SQRT($J$4)</f>
        <v>2.1576074961634366</v>
      </c>
      <c r="M13" s="16">
        <f>M$10+$K$6*M$11/SQRT($J$4)</f>
        <v>2.2238097327331392</v>
      </c>
      <c r="O13" s="7" t="s">
        <v>18</v>
      </c>
      <c r="P13" s="14">
        <f>P$10+$K$6*P$11/SQRT($J$4)</f>
        <v>0.32400103089394827</v>
      </c>
      <c r="Q13" s="15">
        <f>Q$10+$K$6*Q$11/SQRT($J$4)</f>
        <v>0.33347827012600689</v>
      </c>
      <c r="R13" s="15">
        <f>R$10+$K$6*R$11/SQRT($J$4)</f>
        <v>0.31894978336909374</v>
      </c>
      <c r="S13" s="15">
        <f>S$10+$K$6*S$11/SQRT($J$4)</f>
        <v>0.31711688408306238</v>
      </c>
      <c r="T13" s="16">
        <f>T$10+$K$6*T$11/SQRT($J$4)</f>
        <v>0.31696170182165873</v>
      </c>
    </row>
    <row r="14" spans="1:20" x14ac:dyDescent="0.15">
      <c r="A14" s="6" t="s">
        <v>19</v>
      </c>
      <c r="B14" s="11">
        <f>B$10+$J$7*B$11/SQRT($J$4)</f>
        <v>18.240370197328559</v>
      </c>
      <c r="C14" s="12">
        <f t="shared" ref="C14:F14" si="0">C$10+$J$7*C$11/SQRT($J$4)</f>
        <v>21.348416058886588</v>
      </c>
      <c r="D14" s="12">
        <f t="shared" si="0"/>
        <v>22.469884705113063</v>
      </c>
      <c r="E14" s="12">
        <f t="shared" si="0"/>
        <v>22.660798250514784</v>
      </c>
      <c r="F14" s="13">
        <f t="shared" si="0"/>
        <v>22.698900031881504</v>
      </c>
      <c r="H14" s="6" t="s">
        <v>19</v>
      </c>
      <c r="I14" s="11">
        <f>I$10+$J$7*I$11/SQRT($J$4)</f>
        <v>0.66754049526275738</v>
      </c>
      <c r="J14" s="12">
        <f t="shared" ref="J14:M14" si="1">J$10+$J$7*J$11/SQRT($J$4)</f>
        <v>1.004262379198458</v>
      </c>
      <c r="K14" s="12">
        <f t="shared" si="1"/>
        <v>0.7302061952257648</v>
      </c>
      <c r="L14" s="12">
        <f t="shared" si="1"/>
        <v>0.42447817467357618</v>
      </c>
      <c r="M14" s="13">
        <f t="shared" si="1"/>
        <v>0.35908512414607374</v>
      </c>
      <c r="O14" s="6" t="s">
        <v>19</v>
      </c>
      <c r="P14" s="11">
        <f>P$10+$J$7*P$11/SQRT($J$4)</f>
        <v>0.26966640876495956</v>
      </c>
      <c r="Q14" s="12">
        <f>Q$10+$J$7*Q$11/SQRT($J$4)</f>
        <v>0.31419585397673638</v>
      </c>
      <c r="R14" s="12">
        <f t="shared" ref="Q14:T14" si="2">R$10+$J$7*R$11/SQRT($J$4)</f>
        <v>0.31229116083592301</v>
      </c>
      <c r="S14" s="12">
        <f t="shared" si="2"/>
        <v>0.31451246396065752</v>
      </c>
      <c r="T14" s="13">
        <f>T$10+$J$7*T$11/SQRT($J$4)</f>
        <v>0.31537472325606408</v>
      </c>
    </row>
    <row r="15" spans="1:20" ht="14.25" thickBot="1" x14ac:dyDescent="0.2">
      <c r="A15" s="7" t="s">
        <v>20</v>
      </c>
      <c r="B15" s="14">
        <f>B$10+$K$7*B$11/SQRT($J$4)</f>
        <v>24.898644998723299</v>
      </c>
      <c r="C15" s="15">
        <f t="shared" ref="C15:F15" si="3">C$10+$K$7*C$11/SQRT($J$4)</f>
        <v>23.696918473203677</v>
      </c>
      <c r="D15" s="15">
        <f t="shared" si="3"/>
        <v>23.164764731319668</v>
      </c>
      <c r="E15" s="15">
        <f t="shared" si="3"/>
        <v>22.984962477832202</v>
      </c>
      <c r="F15" s="16">
        <f t="shared" si="3"/>
        <v>22.943779752084108</v>
      </c>
      <c r="H15" s="7" t="s">
        <v>20</v>
      </c>
      <c r="I15" s="14">
        <f>I$10+$K$7*I$11/SQRT($J$4)</f>
        <v>1.0467452190229567</v>
      </c>
      <c r="J15" s="15">
        <f t="shared" ref="J15:M15" si="4">J$10+$K$7*J$11/SQRT($J$4)</f>
        <v>1.5671661922301137</v>
      </c>
      <c r="K15" s="15">
        <f t="shared" si="4"/>
        <v>1.8412223762028068</v>
      </c>
      <c r="L15" s="15">
        <f t="shared" si="4"/>
        <v>2.1469503967549954</v>
      </c>
      <c r="M15" s="16">
        <f t="shared" si="4"/>
        <v>2.2123434472824979</v>
      </c>
      <c r="O15" s="7" t="s">
        <v>20</v>
      </c>
      <c r="P15" s="14">
        <f>P$10+$K$7*P$11/SQRT($J$4)</f>
        <v>0.32366692456837359</v>
      </c>
      <c r="Q15" s="15">
        <f>Q$10+$K$7*Q$11/SQRT($J$4)</f>
        <v>0.33335970157881906</v>
      </c>
      <c r="R15" s="15">
        <f t="shared" ref="Q15:T15" si="5">R$10+$K$7*R$11/SQRT($J$4)</f>
        <v>0.3189088391640772</v>
      </c>
      <c r="S15" s="15">
        <f t="shared" si="5"/>
        <v>0.31710086937267595</v>
      </c>
      <c r="T15" s="16">
        <f>T$10+$K$7*T$11/SQRT($J$4)</f>
        <v>0.31695194341060251</v>
      </c>
    </row>
    <row r="17" spans="1:27" x14ac:dyDescent="0.15">
      <c r="B17">
        <f>B11/SQRT(B18)</f>
        <v>5.3713521844774368</v>
      </c>
      <c r="C17">
        <f>C11/SQRT($C$18)</f>
        <v>0.59911876770230832</v>
      </c>
      <c r="D17">
        <f>D11/SQRT($C$18)</f>
        <v>0.17726857015938335</v>
      </c>
      <c r="E17">
        <f>E11/SQRT($C$18)</f>
        <v>8.2696475515464871E-2</v>
      </c>
      <c r="F17">
        <f>F11/SQRT($C$18)</f>
        <v>6.2470464287656013E-2</v>
      </c>
      <c r="I17">
        <v>10</v>
      </c>
      <c r="J17">
        <v>100</v>
      </c>
      <c r="K17">
        <v>1000</v>
      </c>
      <c r="L17">
        <v>5000</v>
      </c>
      <c r="M17">
        <v>10000</v>
      </c>
      <c r="W17">
        <v>10</v>
      </c>
      <c r="X17">
        <v>100</v>
      </c>
      <c r="Y17">
        <v>1000</v>
      </c>
      <c r="Z17">
        <v>5000</v>
      </c>
      <c r="AA17">
        <v>10000</v>
      </c>
    </row>
    <row r="18" spans="1:27" x14ac:dyDescent="0.15">
      <c r="B18">
        <v>10</v>
      </c>
      <c r="C18">
        <v>100</v>
      </c>
      <c r="D18">
        <v>1000</v>
      </c>
      <c r="E18">
        <v>5000</v>
      </c>
      <c r="F18">
        <v>10000</v>
      </c>
      <c r="H18">
        <v>5</v>
      </c>
      <c r="I18">
        <f t="array" ref="I18:I88">FREQUENCY(B19:B108,$H$18:$H$88)</f>
        <v>17</v>
      </c>
      <c r="J18">
        <f t="array" ref="J18:J88">FREQUENCY(C19:C108,$H$18:$H$88)</f>
        <v>0</v>
      </c>
      <c r="K18">
        <f t="array" ref="K18:K88">FREQUENCY(D19:D108,$H$18:$H$88)</f>
        <v>0</v>
      </c>
      <c r="L18">
        <f t="array" ref="L18:L88">FREQUENCY(E19:E108,$H$18:$H$88)</f>
        <v>0</v>
      </c>
      <c r="M18">
        <f t="array" ref="M18:M88">FREQUENCY(F19:F108,$H$18:$H$88)</f>
        <v>0</v>
      </c>
      <c r="P18">
        <v>10</v>
      </c>
      <c r="Q18">
        <v>100</v>
      </c>
      <c r="R18">
        <v>1000</v>
      </c>
      <c r="S18">
        <v>5000</v>
      </c>
      <c r="T18">
        <v>10000</v>
      </c>
      <c r="V18">
        <v>0</v>
      </c>
      <c r="W18">
        <f t="array" ref="W18:W48">FREQUENCY(P18:P108,$V$18:$V$48)</f>
        <v>1</v>
      </c>
      <c r="X18">
        <f t="array" ref="X18:X48">FREQUENCY(Q18:Q108,$V$18:$V$48)</f>
        <v>0</v>
      </c>
      <c r="Y18">
        <f t="array" ref="Y18:Y48">FREQUENCY(R18:R108,$V$18:$V$48)</f>
        <v>0</v>
      </c>
      <c r="Z18">
        <f t="array" ref="Z18:Z48">FREQUENCY(S18:S108,$V$18:$V$48)</f>
        <v>0</v>
      </c>
      <c r="AA18">
        <f t="array" ref="AA18:AA48">FREQUENCY(T18:T108,$V$18:$V$48)</f>
        <v>0</v>
      </c>
    </row>
    <row r="19" spans="1:27" x14ac:dyDescent="0.15">
      <c r="A19">
        <v>1</v>
      </c>
      <c r="B19">
        <f>MeanOfLogNormalCallOption(B$18,$D$2,$D$3,$D$4,$D$5,$D$6)</f>
        <v>17.603874758820872</v>
      </c>
      <c r="C19">
        <f>MeanOfLogNormalCallOption(C$18,$D$2,$D$3,$D$4,$D$5,$D$6)</f>
        <v>18.857237571977851</v>
      </c>
      <c r="D19">
        <f>MeanOfLogNormalCallOption(D$18,$D$2,$D$3,$D$4,$D$5,$D$6)</f>
        <v>23.135486672131691</v>
      </c>
      <c r="E19">
        <f>MeanOfLogNormalCallOption(E$18,$D$2,$D$3,$D$4,$D$5,$D$6)</f>
        <v>22.035565110338158</v>
      </c>
      <c r="F19">
        <f>MeanOfLogNormalCallOption(F$18,$D$2,$D$3,$D$4,$D$5,$D$6)</f>
        <v>23.54258805339235</v>
      </c>
      <c r="H19">
        <v>5.5</v>
      </c>
      <c r="I19">
        <v>2</v>
      </c>
      <c r="J19">
        <v>0</v>
      </c>
      <c r="K19">
        <v>0</v>
      </c>
      <c r="L19">
        <v>0</v>
      </c>
      <c r="M19">
        <v>0</v>
      </c>
      <c r="P19">
        <f>MeanOfLogNormalDigitalOption(P$18,$D$2,$D$3,$D$4,$D$5,$D$6)</f>
        <v>0.5</v>
      </c>
      <c r="Q19">
        <f t="shared" ref="Q19:T38" si="6">MeanOfLogNormalDigitalOption(Q$18,$D$2,$D$3,$D$4,$D$5,$D$6)</f>
        <v>0.27</v>
      </c>
      <c r="R19">
        <f t="shared" si="6"/>
        <v>0.32800000000000001</v>
      </c>
      <c r="S19">
        <f t="shared" si="6"/>
        <v>0.31219999999999998</v>
      </c>
      <c r="T19">
        <f t="shared" si="6"/>
        <v>0.31230000000000002</v>
      </c>
      <c r="V19">
        <v>0.02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15">
      <c r="A20">
        <v>2</v>
      </c>
      <c r="B20">
        <f>MeanOfLogNormalCallOption(B$18,$D$2,$D$3,$D$4,$D$5,$D$6)</f>
        <v>2.3665541840755262</v>
      </c>
      <c r="C20">
        <f>MeanOfLogNormalCallOption(C$18,$D$2,$D$3,$D$4,$D$5,$D$6)</f>
        <v>13.406503816915352</v>
      </c>
      <c r="D20">
        <f>MeanOfLogNormalCallOption(D$18,$D$2,$D$3,$D$4,$D$5,$D$6)</f>
        <v>25.842509993266258</v>
      </c>
      <c r="E20">
        <f>MeanOfLogNormalCallOption(E$18,$D$2,$D$3,$D$4,$D$5,$D$6)</f>
        <v>22.662115121908418</v>
      </c>
      <c r="F20">
        <f>MeanOfLogNormalCallOption(F$18,$D$2,$D$3,$D$4,$D$5,$D$6)</f>
        <v>21.821633025005671</v>
      </c>
      <c r="H20">
        <v>6</v>
      </c>
      <c r="I20">
        <v>0</v>
      </c>
      <c r="J20">
        <v>0</v>
      </c>
      <c r="K20">
        <v>0</v>
      </c>
      <c r="L20">
        <v>0</v>
      </c>
      <c r="M20">
        <v>0</v>
      </c>
      <c r="P20">
        <f t="shared" ref="P20:T35" si="7">MeanOfLogNormalDigitalOption(P$18,$D$2,$D$3,$D$4,$D$5,$D$6)</f>
        <v>0.3</v>
      </c>
      <c r="Q20">
        <f t="shared" si="6"/>
        <v>0.35</v>
      </c>
      <c r="R20">
        <f t="shared" si="6"/>
        <v>0.30199999999999999</v>
      </c>
      <c r="S20">
        <f t="shared" si="6"/>
        <v>0.31979999999999997</v>
      </c>
      <c r="T20">
        <f t="shared" si="6"/>
        <v>0.31919999999999998</v>
      </c>
      <c r="V20">
        <v>0.04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15">
      <c r="A21">
        <v>3</v>
      </c>
      <c r="B21">
        <f>MeanOfLogNormalCallOption(B$18,$D$2,$D$3,$D$4,$D$5,$D$6)</f>
        <v>19.641561818425647</v>
      </c>
      <c r="C21">
        <f>MeanOfLogNormalCallOption(C$18,$D$2,$D$3,$D$4,$D$5,$D$6)</f>
        <v>16.357854715459037</v>
      </c>
      <c r="D21">
        <f>MeanOfLogNormalCallOption(D$18,$D$2,$D$3,$D$4,$D$5,$D$6)</f>
        <v>24.094050300244657</v>
      </c>
      <c r="E21">
        <f>MeanOfLogNormalCallOption(E$18,$D$2,$D$3,$D$4,$D$5,$D$6)</f>
        <v>23.078470509764845</v>
      </c>
      <c r="F21">
        <f>MeanOfLogNormalCallOption(F$18,$D$2,$D$3,$D$4,$D$5,$D$6)</f>
        <v>22.710045009319568</v>
      </c>
      <c r="H21">
        <v>6.5</v>
      </c>
      <c r="I21">
        <v>1</v>
      </c>
      <c r="J21">
        <v>0</v>
      </c>
      <c r="K21">
        <v>0</v>
      </c>
      <c r="L21">
        <v>0</v>
      </c>
      <c r="M21">
        <v>0</v>
      </c>
      <c r="P21">
        <f t="shared" si="7"/>
        <v>0.4</v>
      </c>
      <c r="Q21">
        <f t="shared" si="6"/>
        <v>0.32</v>
      </c>
      <c r="R21">
        <f t="shared" si="6"/>
        <v>0.313</v>
      </c>
      <c r="S21">
        <f t="shared" si="6"/>
        <v>0.30680000000000002</v>
      </c>
      <c r="T21">
        <f t="shared" si="6"/>
        <v>0.316</v>
      </c>
      <c r="V21">
        <v>0.06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15">
      <c r="A22">
        <v>4</v>
      </c>
      <c r="B22">
        <f>MeanOfLogNormalCallOption(B$18,$D$2,$D$3,$D$4,$D$5,$D$6)</f>
        <v>13.547379573015093</v>
      </c>
      <c r="C22">
        <f>MeanOfLogNormalCallOption(C$18,$D$2,$D$3,$D$4,$D$5,$D$6)</f>
        <v>16.702381099762643</v>
      </c>
      <c r="D22">
        <f>MeanOfLogNormalCallOption(D$18,$D$2,$D$3,$D$4,$D$5,$D$6)</f>
        <v>22.817379538027957</v>
      </c>
      <c r="E22">
        <f>MeanOfLogNormalCallOption(E$18,$D$2,$D$3,$D$4,$D$5,$D$6)</f>
        <v>23.871155955655702</v>
      </c>
      <c r="F22">
        <f>MeanOfLogNormalCallOption(F$18,$D$2,$D$3,$D$4,$D$5,$D$6)</f>
        <v>24.042774828033917</v>
      </c>
      <c r="H22">
        <v>7</v>
      </c>
      <c r="I22">
        <v>1</v>
      </c>
      <c r="J22">
        <v>0</v>
      </c>
      <c r="K22">
        <v>0</v>
      </c>
      <c r="L22">
        <v>0</v>
      </c>
      <c r="M22">
        <v>0</v>
      </c>
      <c r="P22">
        <f t="shared" si="7"/>
        <v>0.1</v>
      </c>
      <c r="Q22">
        <f t="shared" si="6"/>
        <v>0.34</v>
      </c>
      <c r="R22">
        <f t="shared" si="6"/>
        <v>0.29799999999999999</v>
      </c>
      <c r="S22">
        <f t="shared" si="6"/>
        <v>0.32219999999999999</v>
      </c>
      <c r="T22">
        <f t="shared" si="6"/>
        <v>0.31659999999999999</v>
      </c>
      <c r="V22">
        <v>0.08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15">
      <c r="A23">
        <v>5</v>
      </c>
      <c r="B23">
        <f>MeanOfLogNormalCallOption(B$18,$D$2,$D$3,$D$4,$D$5,$D$6)</f>
        <v>8.4252647622927554</v>
      </c>
      <c r="C23">
        <f>MeanOfLogNormalCallOption(C$18,$D$2,$D$3,$D$4,$D$5,$D$6)</f>
        <v>21.406394854619897</v>
      </c>
      <c r="D23">
        <f>MeanOfLogNormalCallOption(D$18,$D$2,$D$3,$D$4,$D$5,$D$6)</f>
        <v>23.049620501691969</v>
      </c>
      <c r="E23">
        <f>MeanOfLogNormalCallOption(E$18,$D$2,$D$3,$D$4,$D$5,$D$6)</f>
        <v>23.566648587619952</v>
      </c>
      <c r="F23">
        <f>MeanOfLogNormalCallOption(F$18,$D$2,$D$3,$D$4,$D$5,$D$6)</f>
        <v>22.8912277809873</v>
      </c>
      <c r="H23">
        <v>7.5</v>
      </c>
      <c r="I23">
        <v>2</v>
      </c>
      <c r="J23">
        <v>0</v>
      </c>
      <c r="K23">
        <v>0</v>
      </c>
      <c r="L23">
        <v>0</v>
      </c>
      <c r="M23">
        <v>0</v>
      </c>
      <c r="P23">
        <f t="shared" si="7"/>
        <v>0.8</v>
      </c>
      <c r="Q23">
        <f t="shared" si="6"/>
        <v>0.31</v>
      </c>
      <c r="R23">
        <f t="shared" si="6"/>
        <v>0.314</v>
      </c>
      <c r="S23">
        <f t="shared" si="6"/>
        <v>0.32100000000000001</v>
      </c>
      <c r="T23">
        <f t="shared" si="6"/>
        <v>0.31319999999999998</v>
      </c>
      <c r="V23">
        <v>0.1</v>
      </c>
      <c r="W23">
        <v>10</v>
      </c>
      <c r="X23">
        <v>0</v>
      </c>
      <c r="Y23">
        <v>0</v>
      </c>
      <c r="Z23">
        <v>0</v>
      </c>
      <c r="AA23">
        <v>0</v>
      </c>
    </row>
    <row r="24" spans="1:27" x14ac:dyDescent="0.15">
      <c r="A24">
        <v>6</v>
      </c>
      <c r="B24">
        <f>MeanOfLogNormalCallOption(B$18,$D$2,$D$3,$D$4,$D$5,$D$6)</f>
        <v>23.670064168072507</v>
      </c>
      <c r="C24">
        <f>MeanOfLogNormalCallOption(C$18,$D$2,$D$3,$D$4,$D$5,$D$6)</f>
        <v>17.389425984915889</v>
      </c>
      <c r="D24">
        <f>MeanOfLogNormalCallOption(D$18,$D$2,$D$3,$D$4,$D$5,$D$6)</f>
        <v>23.024782329383648</v>
      </c>
      <c r="E24">
        <f>MeanOfLogNormalCallOption(E$18,$D$2,$D$3,$D$4,$D$5,$D$6)</f>
        <v>22.748365285258831</v>
      </c>
      <c r="F24">
        <f>MeanOfLogNormalCallOption(F$18,$D$2,$D$3,$D$4,$D$5,$D$6)</f>
        <v>23.177182136917082</v>
      </c>
      <c r="H24">
        <v>8</v>
      </c>
      <c r="I24">
        <v>2</v>
      </c>
      <c r="J24">
        <v>0</v>
      </c>
      <c r="K24">
        <v>0</v>
      </c>
      <c r="L24">
        <v>0</v>
      </c>
      <c r="M24">
        <v>0</v>
      </c>
      <c r="P24">
        <f t="shared" si="7"/>
        <v>0.5</v>
      </c>
      <c r="Q24">
        <f t="shared" si="6"/>
        <v>0.27</v>
      </c>
      <c r="R24">
        <f t="shared" si="6"/>
        <v>0.30599999999999999</v>
      </c>
      <c r="S24">
        <f t="shared" si="6"/>
        <v>0.32100000000000001</v>
      </c>
      <c r="T24">
        <f t="shared" si="6"/>
        <v>0.32019999999999998</v>
      </c>
      <c r="V24">
        <v>0.12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15">
      <c r="A25">
        <v>7</v>
      </c>
      <c r="B25">
        <f>MeanOfLogNormalCallOption(B$18,$D$2,$D$3,$D$4,$D$5,$D$6)</f>
        <v>40.001821333620278</v>
      </c>
      <c r="C25">
        <f>MeanOfLogNormalCallOption(C$18,$D$2,$D$3,$D$4,$D$5,$D$6)</f>
        <v>18.516628228366191</v>
      </c>
      <c r="D25">
        <f>MeanOfLogNormalCallOption(D$18,$D$2,$D$3,$D$4,$D$5,$D$6)</f>
        <v>21.872502161232326</v>
      </c>
      <c r="E25">
        <f>MeanOfLogNormalCallOption(E$18,$D$2,$D$3,$D$4,$D$5,$D$6)</f>
        <v>22.663477129324932</v>
      </c>
      <c r="F25">
        <f>MeanOfLogNormalCallOption(F$18,$D$2,$D$3,$D$4,$D$5,$D$6)</f>
        <v>22.574003243446398</v>
      </c>
      <c r="H25">
        <v>8.5</v>
      </c>
      <c r="I25">
        <v>1</v>
      </c>
      <c r="J25">
        <v>0</v>
      </c>
      <c r="K25">
        <v>0</v>
      </c>
      <c r="L25">
        <v>0</v>
      </c>
      <c r="M25">
        <v>0</v>
      </c>
      <c r="P25">
        <f t="shared" si="7"/>
        <v>0.4</v>
      </c>
      <c r="Q25">
        <f t="shared" si="6"/>
        <v>0.38</v>
      </c>
      <c r="R25">
        <f t="shared" si="6"/>
        <v>0.30299999999999999</v>
      </c>
      <c r="S25">
        <f t="shared" si="6"/>
        <v>0.314</v>
      </c>
      <c r="T25">
        <f t="shared" si="6"/>
        <v>0.31969999999999998</v>
      </c>
      <c r="V25">
        <v>0.14000000000000001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15">
      <c r="A26">
        <v>8</v>
      </c>
      <c r="B26">
        <f>MeanOfLogNormalCallOption(B$18,$D$2,$D$3,$D$4,$D$5,$D$6)</f>
        <v>12.480854674670447</v>
      </c>
      <c r="C26">
        <f>MeanOfLogNormalCallOption(C$18,$D$2,$D$3,$D$4,$D$5,$D$6)</f>
        <v>33.550898423761879</v>
      </c>
      <c r="D26">
        <f>MeanOfLogNormalCallOption(D$18,$D$2,$D$3,$D$4,$D$5,$D$6)</f>
        <v>24.677806904073687</v>
      </c>
      <c r="E26">
        <f>MeanOfLogNormalCallOption(E$18,$D$2,$D$3,$D$4,$D$5,$D$6)</f>
        <v>23.402107382632941</v>
      </c>
      <c r="F26">
        <f>MeanOfLogNormalCallOption(F$18,$D$2,$D$3,$D$4,$D$5,$D$6)</f>
        <v>21.891313430023679</v>
      </c>
      <c r="H26">
        <v>9</v>
      </c>
      <c r="I26">
        <v>3</v>
      </c>
      <c r="J26">
        <v>0</v>
      </c>
      <c r="K26">
        <v>0</v>
      </c>
      <c r="L26">
        <v>0</v>
      </c>
      <c r="M26">
        <v>0</v>
      </c>
      <c r="P26">
        <f t="shared" si="7"/>
        <v>0.3</v>
      </c>
      <c r="Q26">
        <f t="shared" si="6"/>
        <v>0.31</v>
      </c>
      <c r="R26">
        <f t="shared" si="6"/>
        <v>0.317</v>
      </c>
      <c r="S26">
        <f t="shared" si="6"/>
        <v>0.30459999999999998</v>
      </c>
      <c r="T26">
        <f t="shared" si="6"/>
        <v>0.31809999999999999</v>
      </c>
      <c r="V26">
        <v>0.16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15">
      <c r="A27">
        <v>9</v>
      </c>
      <c r="B27">
        <f>MeanOfLogNormalCallOption(B$18,$D$2,$D$3,$D$4,$D$5,$D$6)</f>
        <v>35.223500953984228</v>
      </c>
      <c r="C27">
        <f>MeanOfLogNormalCallOption(C$18,$D$2,$D$3,$D$4,$D$5,$D$6)</f>
        <v>14.603501095695592</v>
      </c>
      <c r="D27">
        <f>MeanOfLogNormalCallOption(D$18,$D$2,$D$3,$D$4,$D$5,$D$6)</f>
        <v>21.043805999904524</v>
      </c>
      <c r="E27">
        <f>MeanOfLogNormalCallOption(E$18,$D$2,$D$3,$D$4,$D$5,$D$6)</f>
        <v>21.562173141265038</v>
      </c>
      <c r="F27">
        <f>MeanOfLogNormalCallOption(F$18,$D$2,$D$3,$D$4,$D$5,$D$6)</f>
        <v>23.066086656809741</v>
      </c>
      <c r="H27">
        <v>9.5</v>
      </c>
      <c r="I27">
        <v>2</v>
      </c>
      <c r="J27">
        <v>0</v>
      </c>
      <c r="K27">
        <v>0</v>
      </c>
      <c r="L27">
        <v>0</v>
      </c>
      <c r="M27">
        <v>0</v>
      </c>
      <c r="P27">
        <f t="shared" si="7"/>
        <v>0.5</v>
      </c>
      <c r="Q27">
        <f t="shared" si="6"/>
        <v>0.3</v>
      </c>
      <c r="R27">
        <f t="shared" si="6"/>
        <v>0.31900000000000001</v>
      </c>
      <c r="S27">
        <f t="shared" si="6"/>
        <v>0.31780000000000003</v>
      </c>
      <c r="T27">
        <f t="shared" si="6"/>
        <v>0.31580000000000003</v>
      </c>
      <c r="V27">
        <v>0.18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15">
      <c r="A28">
        <v>10</v>
      </c>
      <c r="B28">
        <f>MeanOfLogNormalCallOption(B$18,$D$2,$D$3,$D$4,$D$5,$D$6)</f>
        <v>9.4679290840366725</v>
      </c>
      <c r="C28">
        <f>MeanOfLogNormalCallOption(C$18,$D$2,$D$3,$D$4,$D$5,$D$6)</f>
        <v>23.98709666437346</v>
      </c>
      <c r="D28">
        <f>MeanOfLogNormalCallOption(D$18,$D$2,$D$3,$D$4,$D$5,$D$6)</f>
        <v>21.782687331519917</v>
      </c>
      <c r="E28">
        <f>MeanOfLogNormalCallOption(E$18,$D$2,$D$3,$D$4,$D$5,$D$6)</f>
        <v>22.779074763099167</v>
      </c>
      <c r="F28">
        <f>MeanOfLogNormalCallOption(F$18,$D$2,$D$3,$D$4,$D$5,$D$6)</f>
        <v>22.481766966368792</v>
      </c>
      <c r="H28">
        <v>10</v>
      </c>
      <c r="I28">
        <v>0</v>
      </c>
      <c r="J28">
        <v>1</v>
      </c>
      <c r="K28">
        <v>0</v>
      </c>
      <c r="L28">
        <v>0</v>
      </c>
      <c r="M28">
        <v>0</v>
      </c>
      <c r="P28">
        <f t="shared" si="7"/>
        <v>0.4</v>
      </c>
      <c r="Q28">
        <f t="shared" si="6"/>
        <v>0.28999999999999998</v>
      </c>
      <c r="R28">
        <f t="shared" si="6"/>
        <v>0.313</v>
      </c>
      <c r="S28">
        <f t="shared" si="6"/>
        <v>0.312</v>
      </c>
      <c r="T28">
        <f t="shared" si="6"/>
        <v>0.31890000000000002</v>
      </c>
      <c r="V28">
        <v>0.2</v>
      </c>
      <c r="W28">
        <v>27</v>
      </c>
      <c r="X28">
        <v>0</v>
      </c>
      <c r="Y28">
        <v>0</v>
      </c>
      <c r="Z28">
        <v>0</v>
      </c>
      <c r="AA28">
        <v>0</v>
      </c>
    </row>
    <row r="29" spans="1:27" x14ac:dyDescent="0.15">
      <c r="A29">
        <v>11</v>
      </c>
      <c r="B29">
        <f>MeanOfLogNormalCallOption(B$18,$D$2,$D$3,$D$4,$D$5,$D$6)</f>
        <v>3.6419163313829941</v>
      </c>
      <c r="C29">
        <f>MeanOfLogNormalCallOption(C$18,$D$2,$D$3,$D$4,$D$5,$D$6)</f>
        <v>20.536967329336857</v>
      </c>
      <c r="D29">
        <f>MeanOfLogNormalCallOption(D$18,$D$2,$D$3,$D$4,$D$5,$D$6)</f>
        <v>20.410340575693837</v>
      </c>
      <c r="E29">
        <f>MeanOfLogNormalCallOption(E$18,$D$2,$D$3,$D$4,$D$5,$D$6)</f>
        <v>21.967318715846211</v>
      </c>
      <c r="F29">
        <f>MeanOfLogNormalCallOption(F$18,$D$2,$D$3,$D$4,$D$5,$D$6)</f>
        <v>21.924981422930152</v>
      </c>
      <c r="H29">
        <v>10.5</v>
      </c>
      <c r="I29">
        <v>1</v>
      </c>
      <c r="J29">
        <v>0</v>
      </c>
      <c r="K29">
        <v>0</v>
      </c>
      <c r="L29">
        <v>0</v>
      </c>
      <c r="M29">
        <v>0</v>
      </c>
      <c r="P29">
        <f t="shared" si="7"/>
        <v>0.4</v>
      </c>
      <c r="Q29">
        <f t="shared" si="6"/>
        <v>0.31</v>
      </c>
      <c r="R29">
        <f t="shared" si="6"/>
        <v>0.32200000000000001</v>
      </c>
      <c r="S29">
        <f t="shared" si="6"/>
        <v>0.31180000000000002</v>
      </c>
      <c r="T29">
        <f t="shared" si="6"/>
        <v>0.315</v>
      </c>
      <c r="V29">
        <v>0.22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15">
      <c r="A30">
        <v>12</v>
      </c>
      <c r="B30">
        <f>MeanOfLogNormalCallOption(B$18,$D$2,$D$3,$D$4,$D$5,$D$6)</f>
        <v>19.88584671168821</v>
      </c>
      <c r="C30">
        <f>MeanOfLogNormalCallOption(C$18,$D$2,$D$3,$D$4,$D$5,$D$6)</f>
        <v>32.274550152846452</v>
      </c>
      <c r="D30">
        <f>MeanOfLogNormalCallOption(D$18,$D$2,$D$3,$D$4,$D$5,$D$6)</f>
        <v>24.814014246016111</v>
      </c>
      <c r="E30">
        <f>MeanOfLogNormalCallOption(E$18,$D$2,$D$3,$D$4,$D$5,$D$6)</f>
        <v>21.653927110502604</v>
      </c>
      <c r="F30">
        <f>MeanOfLogNormalCallOption(F$18,$D$2,$D$3,$D$4,$D$5,$D$6)</f>
        <v>21.86220682187944</v>
      </c>
      <c r="H30">
        <v>11</v>
      </c>
      <c r="I30">
        <v>0</v>
      </c>
      <c r="J30">
        <v>0</v>
      </c>
      <c r="K30">
        <v>0</v>
      </c>
      <c r="L30">
        <v>0</v>
      </c>
      <c r="M30">
        <v>0</v>
      </c>
      <c r="P30">
        <f t="shared" si="7"/>
        <v>0.2</v>
      </c>
      <c r="Q30">
        <f t="shared" si="6"/>
        <v>0.27</v>
      </c>
      <c r="R30">
        <f t="shared" si="6"/>
        <v>0.30299999999999999</v>
      </c>
      <c r="S30">
        <f t="shared" si="6"/>
        <v>0.30959999999999999</v>
      </c>
      <c r="T30">
        <f t="shared" si="6"/>
        <v>0.31850000000000001</v>
      </c>
      <c r="V30">
        <v>0.24</v>
      </c>
      <c r="W30">
        <v>0</v>
      </c>
      <c r="X30">
        <v>5</v>
      </c>
      <c r="Y30">
        <v>0</v>
      </c>
      <c r="Z30">
        <v>0</v>
      </c>
      <c r="AA30">
        <v>0</v>
      </c>
    </row>
    <row r="31" spans="1:27" x14ac:dyDescent="0.15">
      <c r="A31">
        <v>13</v>
      </c>
      <c r="B31">
        <f>MeanOfLogNormalCallOption(B$18,$D$2,$D$3,$D$4,$D$5,$D$6)</f>
        <v>18.120364402628468</v>
      </c>
      <c r="C31">
        <f>MeanOfLogNormalCallOption(C$18,$D$2,$D$3,$D$4,$D$5,$D$6)</f>
        <v>13.012044728860362</v>
      </c>
      <c r="D31">
        <f>MeanOfLogNormalCallOption(D$18,$D$2,$D$3,$D$4,$D$5,$D$6)</f>
        <v>21.020314279934198</v>
      </c>
      <c r="E31">
        <f>MeanOfLogNormalCallOption(E$18,$D$2,$D$3,$D$4,$D$5,$D$6)</f>
        <v>22.675516533250235</v>
      </c>
      <c r="F31">
        <f>MeanOfLogNormalCallOption(F$18,$D$2,$D$3,$D$4,$D$5,$D$6)</f>
        <v>22.170254373032773</v>
      </c>
      <c r="H31">
        <v>11.5</v>
      </c>
      <c r="I31">
        <v>0</v>
      </c>
      <c r="J31">
        <v>0</v>
      </c>
      <c r="K31">
        <v>0</v>
      </c>
      <c r="L31">
        <v>0</v>
      </c>
      <c r="M31">
        <v>0</v>
      </c>
      <c r="P31">
        <f t="shared" si="7"/>
        <v>0.2</v>
      </c>
      <c r="Q31">
        <f t="shared" si="6"/>
        <v>0.32</v>
      </c>
      <c r="R31">
        <f t="shared" si="6"/>
        <v>0.315</v>
      </c>
      <c r="S31">
        <f t="shared" si="6"/>
        <v>0.32719999999999999</v>
      </c>
      <c r="T31">
        <f t="shared" si="6"/>
        <v>0.311</v>
      </c>
      <c r="V31">
        <v>0.26</v>
      </c>
      <c r="W31">
        <v>0</v>
      </c>
      <c r="X31">
        <v>5</v>
      </c>
      <c r="Y31">
        <v>0</v>
      </c>
      <c r="Z31">
        <v>0</v>
      </c>
      <c r="AA31">
        <v>0</v>
      </c>
    </row>
    <row r="32" spans="1:27" x14ac:dyDescent="0.15">
      <c r="A32">
        <v>14</v>
      </c>
      <c r="B32">
        <f>MeanOfLogNormalCallOption(B$18,$D$2,$D$3,$D$4,$D$5,$D$6)</f>
        <v>7.3769124320548043</v>
      </c>
      <c r="C32">
        <f>MeanOfLogNormalCallOption(C$18,$D$2,$D$3,$D$4,$D$5,$D$6)</f>
        <v>22.726860383985901</v>
      </c>
      <c r="D32">
        <f>MeanOfLogNormalCallOption(D$18,$D$2,$D$3,$D$4,$D$5,$D$6)</f>
        <v>24.733600591568628</v>
      </c>
      <c r="E32">
        <f>MeanOfLogNormalCallOption(E$18,$D$2,$D$3,$D$4,$D$5,$D$6)</f>
        <v>22.225031984170208</v>
      </c>
      <c r="F32">
        <f>MeanOfLogNormalCallOption(F$18,$D$2,$D$3,$D$4,$D$5,$D$6)</f>
        <v>23.563623040246291</v>
      </c>
      <c r="H32">
        <v>12</v>
      </c>
      <c r="I32">
        <v>0</v>
      </c>
      <c r="J32">
        <v>0</v>
      </c>
      <c r="K32">
        <v>0</v>
      </c>
      <c r="L32">
        <v>0</v>
      </c>
      <c r="M32">
        <v>0</v>
      </c>
      <c r="P32">
        <f t="shared" si="7"/>
        <v>0.4</v>
      </c>
      <c r="Q32">
        <f t="shared" si="6"/>
        <v>0.36</v>
      </c>
      <c r="R32">
        <f t="shared" si="6"/>
        <v>0.309</v>
      </c>
      <c r="S32">
        <f t="shared" si="6"/>
        <v>0.31619999999999998</v>
      </c>
      <c r="T32">
        <f t="shared" si="6"/>
        <v>0.312</v>
      </c>
      <c r="V32">
        <v>0.28000000000000003</v>
      </c>
      <c r="W32">
        <v>0</v>
      </c>
      <c r="X32">
        <v>10</v>
      </c>
      <c r="Y32">
        <v>2</v>
      </c>
      <c r="Z32">
        <v>0</v>
      </c>
      <c r="AA32">
        <v>0</v>
      </c>
    </row>
    <row r="33" spans="1:27" x14ac:dyDescent="0.15">
      <c r="A33">
        <v>15</v>
      </c>
      <c r="B33">
        <f>MeanOfLogNormalCallOption(B$18,$D$2,$D$3,$D$4,$D$5,$D$6)</f>
        <v>2.9290982724164891</v>
      </c>
      <c r="C33">
        <f>MeanOfLogNormalCallOption(C$18,$D$2,$D$3,$D$4,$D$5,$D$6)</f>
        <v>16.116316634507704</v>
      </c>
      <c r="D33">
        <f>MeanOfLogNormalCallOption(D$18,$D$2,$D$3,$D$4,$D$5,$D$6)</f>
        <v>22.824364746937114</v>
      </c>
      <c r="E33">
        <f>MeanOfLogNormalCallOption(E$18,$D$2,$D$3,$D$4,$D$5,$D$6)</f>
        <v>24.12025411001251</v>
      </c>
      <c r="F33">
        <f>MeanOfLogNormalCallOption(F$18,$D$2,$D$3,$D$4,$D$5,$D$6)</f>
        <v>22.625191531091328</v>
      </c>
      <c r="H33">
        <v>12.5</v>
      </c>
      <c r="I33">
        <v>1</v>
      </c>
      <c r="J33">
        <v>1</v>
      </c>
      <c r="K33">
        <v>0</v>
      </c>
      <c r="L33">
        <v>0</v>
      </c>
      <c r="M33">
        <v>0</v>
      </c>
      <c r="P33">
        <f t="shared" si="7"/>
        <v>0.5</v>
      </c>
      <c r="Q33">
        <f t="shared" si="6"/>
        <v>0.32</v>
      </c>
      <c r="R33">
        <f t="shared" si="6"/>
        <v>0.33500000000000002</v>
      </c>
      <c r="S33">
        <f t="shared" si="6"/>
        <v>0.318</v>
      </c>
      <c r="T33">
        <f t="shared" si="6"/>
        <v>0.31080000000000002</v>
      </c>
      <c r="V33">
        <v>0.3</v>
      </c>
      <c r="W33">
        <v>21</v>
      </c>
      <c r="X33">
        <v>13</v>
      </c>
      <c r="Y33">
        <v>12</v>
      </c>
      <c r="Z33">
        <v>0</v>
      </c>
      <c r="AA33">
        <v>0</v>
      </c>
    </row>
    <row r="34" spans="1:27" x14ac:dyDescent="0.15">
      <c r="A34">
        <v>16</v>
      </c>
      <c r="B34">
        <f>MeanOfLogNormalCallOption(B$18,$D$2,$D$3,$D$4,$D$5,$D$6)</f>
        <v>3.72212027695076</v>
      </c>
      <c r="C34">
        <f>MeanOfLogNormalCallOption(C$18,$D$2,$D$3,$D$4,$D$5,$D$6)</f>
        <v>22.525184884411978</v>
      </c>
      <c r="D34">
        <f>MeanOfLogNormalCallOption(D$18,$D$2,$D$3,$D$4,$D$5,$D$6)</f>
        <v>23.669307337020332</v>
      </c>
      <c r="E34">
        <f>MeanOfLogNormalCallOption(E$18,$D$2,$D$3,$D$4,$D$5,$D$6)</f>
        <v>22.055030170501414</v>
      </c>
      <c r="F34">
        <f>MeanOfLogNormalCallOption(F$18,$D$2,$D$3,$D$4,$D$5,$D$6)</f>
        <v>23.306113933327147</v>
      </c>
      <c r="H34">
        <v>13</v>
      </c>
      <c r="I34">
        <v>2</v>
      </c>
      <c r="J34">
        <v>2</v>
      </c>
      <c r="K34">
        <v>0</v>
      </c>
      <c r="L34">
        <v>0</v>
      </c>
      <c r="M34">
        <v>0</v>
      </c>
      <c r="P34">
        <f t="shared" si="7"/>
        <v>0.3</v>
      </c>
      <c r="Q34">
        <f t="shared" si="6"/>
        <v>0.41</v>
      </c>
      <c r="R34">
        <f t="shared" si="6"/>
        <v>0.32500000000000001</v>
      </c>
      <c r="S34">
        <f t="shared" si="6"/>
        <v>0.30680000000000002</v>
      </c>
      <c r="T34">
        <f t="shared" si="6"/>
        <v>0.31530000000000002</v>
      </c>
      <c r="V34">
        <v>0.32</v>
      </c>
      <c r="W34">
        <v>0</v>
      </c>
      <c r="X34">
        <v>15</v>
      </c>
      <c r="Y34">
        <v>37</v>
      </c>
      <c r="Z34">
        <v>66</v>
      </c>
      <c r="AA34">
        <v>75</v>
      </c>
    </row>
    <row r="35" spans="1:27" x14ac:dyDescent="0.15">
      <c r="A35">
        <v>17</v>
      </c>
      <c r="B35">
        <f>MeanOfLogNormalCallOption(B$18,$D$2,$D$3,$D$4,$D$5,$D$6)</f>
        <v>10.400744788633332</v>
      </c>
      <c r="C35">
        <f>MeanOfLogNormalCallOption(C$18,$D$2,$D$3,$D$4,$D$5,$D$6)</f>
        <v>38.869056619466953</v>
      </c>
      <c r="D35">
        <f>MeanOfLogNormalCallOption(D$18,$D$2,$D$3,$D$4,$D$5,$D$6)</f>
        <v>18.865539127865492</v>
      </c>
      <c r="E35">
        <f>MeanOfLogNormalCallOption(E$18,$D$2,$D$3,$D$4,$D$5,$D$6)</f>
        <v>22.692962445468574</v>
      </c>
      <c r="F35">
        <f>MeanOfLogNormalCallOption(F$18,$D$2,$D$3,$D$4,$D$5,$D$6)</f>
        <v>21.785384764917232</v>
      </c>
      <c r="H35">
        <v>13.5</v>
      </c>
      <c r="I35">
        <v>0</v>
      </c>
      <c r="J35">
        <v>2</v>
      </c>
      <c r="K35">
        <v>0</v>
      </c>
      <c r="L35">
        <v>0</v>
      </c>
      <c r="M35">
        <v>0</v>
      </c>
      <c r="P35">
        <f t="shared" si="7"/>
        <v>0.3</v>
      </c>
      <c r="Q35">
        <f t="shared" si="6"/>
        <v>0.24</v>
      </c>
      <c r="R35">
        <f t="shared" si="6"/>
        <v>0.312</v>
      </c>
      <c r="S35">
        <f t="shared" si="6"/>
        <v>0.32440000000000002</v>
      </c>
      <c r="T35">
        <f t="shared" si="6"/>
        <v>0.31219999999999998</v>
      </c>
      <c r="V35">
        <v>0.34</v>
      </c>
      <c r="W35">
        <v>0</v>
      </c>
      <c r="X35">
        <v>15</v>
      </c>
      <c r="Y35">
        <v>32</v>
      </c>
      <c r="Z35">
        <v>24</v>
      </c>
      <c r="AA35">
        <v>15</v>
      </c>
    </row>
    <row r="36" spans="1:27" x14ac:dyDescent="0.15">
      <c r="A36">
        <v>18</v>
      </c>
      <c r="B36">
        <f>MeanOfLogNormalCallOption(B$18,$D$2,$D$3,$D$4,$D$5,$D$6)</f>
        <v>37.685221603513178</v>
      </c>
      <c r="C36">
        <f>MeanOfLogNormalCallOption(C$18,$D$2,$D$3,$D$4,$D$5,$D$6)</f>
        <v>28.274520717207295</v>
      </c>
      <c r="D36">
        <f>MeanOfLogNormalCallOption(D$18,$D$2,$D$3,$D$4,$D$5,$D$6)</f>
        <v>23.405831973536582</v>
      </c>
      <c r="E36">
        <f>MeanOfLogNormalCallOption(E$18,$D$2,$D$3,$D$4,$D$5,$D$6)</f>
        <v>23.524896439950883</v>
      </c>
      <c r="F36">
        <f>MeanOfLogNormalCallOption(F$18,$D$2,$D$3,$D$4,$D$5,$D$6)</f>
        <v>22.746421758047735</v>
      </c>
      <c r="H36">
        <v>14</v>
      </c>
      <c r="I36">
        <v>1</v>
      </c>
      <c r="J36">
        <v>0</v>
      </c>
      <c r="K36">
        <v>0</v>
      </c>
      <c r="L36">
        <v>0</v>
      </c>
      <c r="M36">
        <v>0</v>
      </c>
      <c r="P36">
        <f t="shared" ref="P36:T51" si="8">MeanOfLogNormalDigitalOption(P$18,$D$2,$D$3,$D$4,$D$5,$D$6)</f>
        <v>0.3</v>
      </c>
      <c r="Q36">
        <f t="shared" si="6"/>
        <v>0.32</v>
      </c>
      <c r="R36">
        <f t="shared" si="6"/>
        <v>0.315</v>
      </c>
      <c r="S36">
        <f t="shared" si="6"/>
        <v>0.31540000000000001</v>
      </c>
      <c r="T36">
        <f t="shared" si="6"/>
        <v>0.30909999999999999</v>
      </c>
      <c r="V36">
        <v>0.36</v>
      </c>
      <c r="W36">
        <v>0</v>
      </c>
      <c r="X36">
        <v>8</v>
      </c>
      <c r="Y36">
        <v>7</v>
      </c>
      <c r="Z36">
        <v>0</v>
      </c>
      <c r="AA36">
        <v>0</v>
      </c>
    </row>
    <row r="37" spans="1:27" x14ac:dyDescent="0.15">
      <c r="A37">
        <v>19</v>
      </c>
      <c r="B37">
        <f>MeanOfLogNormalCallOption(B$18,$D$2,$D$3,$D$4,$D$5,$D$6)</f>
        <v>8.7994593339153901</v>
      </c>
      <c r="C37">
        <f>MeanOfLogNormalCallOption(C$18,$D$2,$D$3,$D$4,$D$5,$D$6)</f>
        <v>31.703032985661562</v>
      </c>
      <c r="D37">
        <f>MeanOfLogNormalCallOption(D$18,$D$2,$D$3,$D$4,$D$5,$D$6)</f>
        <v>20.928649025584974</v>
      </c>
      <c r="E37">
        <f>MeanOfLogNormalCallOption(E$18,$D$2,$D$3,$D$4,$D$5,$D$6)</f>
        <v>23.302801308804312</v>
      </c>
      <c r="F37">
        <f>MeanOfLogNormalCallOption(F$18,$D$2,$D$3,$D$4,$D$5,$D$6)</f>
        <v>22.146460859322957</v>
      </c>
      <c r="H37">
        <v>14.5</v>
      </c>
      <c r="I37">
        <v>0</v>
      </c>
      <c r="J37">
        <v>0</v>
      </c>
      <c r="K37">
        <v>0</v>
      </c>
      <c r="L37">
        <v>0</v>
      </c>
      <c r="M37">
        <v>0</v>
      </c>
      <c r="P37">
        <f t="shared" si="8"/>
        <v>0.4</v>
      </c>
      <c r="Q37">
        <f t="shared" si="6"/>
        <v>0.26</v>
      </c>
      <c r="R37">
        <f t="shared" si="6"/>
        <v>0.34</v>
      </c>
      <c r="S37">
        <f t="shared" si="6"/>
        <v>0.32719999999999999</v>
      </c>
      <c r="T37">
        <f t="shared" si="6"/>
        <v>0.31850000000000001</v>
      </c>
      <c r="V37">
        <v>0.38</v>
      </c>
      <c r="W37">
        <v>0</v>
      </c>
      <c r="X37">
        <v>7</v>
      </c>
      <c r="Y37">
        <v>0</v>
      </c>
      <c r="Z37">
        <v>0</v>
      </c>
      <c r="AA37">
        <v>0</v>
      </c>
    </row>
    <row r="38" spans="1:27" x14ac:dyDescent="0.15">
      <c r="A38">
        <v>20</v>
      </c>
      <c r="B38">
        <f>MeanOfLogNormalCallOption(B$18,$D$2,$D$3,$D$4,$D$5,$D$6)</f>
        <v>21.575923061392555</v>
      </c>
      <c r="C38">
        <f>MeanOfLogNormalCallOption(C$18,$D$2,$D$3,$D$4,$D$5,$D$6)</f>
        <v>28.862730883062468</v>
      </c>
      <c r="D38">
        <f>MeanOfLogNormalCallOption(D$18,$D$2,$D$3,$D$4,$D$5,$D$6)</f>
        <v>27.059147746271886</v>
      </c>
      <c r="E38">
        <f>MeanOfLogNormalCallOption(E$18,$D$2,$D$3,$D$4,$D$5,$D$6)</f>
        <v>22.14453273206589</v>
      </c>
      <c r="F38">
        <f>MeanOfLogNormalCallOption(F$18,$D$2,$D$3,$D$4,$D$5,$D$6)</f>
        <v>21.575213771799465</v>
      </c>
      <c r="H38">
        <v>15</v>
      </c>
      <c r="I38">
        <v>2</v>
      </c>
      <c r="J38">
        <v>3</v>
      </c>
      <c r="K38">
        <v>0</v>
      </c>
      <c r="L38">
        <v>0</v>
      </c>
      <c r="M38">
        <v>0</v>
      </c>
      <c r="P38">
        <f t="shared" si="8"/>
        <v>0.1</v>
      </c>
      <c r="Q38">
        <f t="shared" si="6"/>
        <v>0.28000000000000003</v>
      </c>
      <c r="R38">
        <f t="shared" si="6"/>
        <v>0.29699999999999999</v>
      </c>
      <c r="S38">
        <f t="shared" si="6"/>
        <v>0.31380000000000002</v>
      </c>
      <c r="T38">
        <f t="shared" si="6"/>
        <v>0.31180000000000002</v>
      </c>
      <c r="V38">
        <v>0.4</v>
      </c>
      <c r="W38">
        <v>19</v>
      </c>
      <c r="X38">
        <v>5</v>
      </c>
      <c r="Y38">
        <v>0</v>
      </c>
      <c r="Z38">
        <v>0</v>
      </c>
      <c r="AA38">
        <v>0</v>
      </c>
    </row>
    <row r="39" spans="1:27" x14ac:dyDescent="0.15">
      <c r="A39">
        <v>21</v>
      </c>
      <c r="B39">
        <f>MeanOfLogNormalCallOption(B$18,$D$2,$D$3,$D$4,$D$5,$D$6)</f>
        <v>4.6925659764283063</v>
      </c>
      <c r="C39">
        <f>MeanOfLogNormalCallOption(C$18,$D$2,$D$3,$D$4,$D$5,$D$6)</f>
        <v>22.021980458732195</v>
      </c>
      <c r="D39">
        <f>MeanOfLogNormalCallOption(D$18,$D$2,$D$3,$D$4,$D$5,$D$6)</f>
        <v>20.700438593462074</v>
      </c>
      <c r="E39">
        <f>MeanOfLogNormalCallOption(E$18,$D$2,$D$3,$D$4,$D$5,$D$6)</f>
        <v>23.786538505921072</v>
      </c>
      <c r="F39">
        <f>MeanOfLogNormalCallOption(F$18,$D$2,$D$3,$D$4,$D$5,$D$6)</f>
        <v>23.535703375125657</v>
      </c>
      <c r="H39">
        <v>15.5</v>
      </c>
      <c r="I39">
        <v>0</v>
      </c>
      <c r="J39">
        <v>3</v>
      </c>
      <c r="K39">
        <v>0</v>
      </c>
      <c r="L39">
        <v>0</v>
      </c>
      <c r="M39">
        <v>0</v>
      </c>
      <c r="P39">
        <f t="shared" si="8"/>
        <v>0.1</v>
      </c>
      <c r="Q39">
        <f t="shared" si="8"/>
        <v>0.33</v>
      </c>
      <c r="R39">
        <f t="shared" si="8"/>
        <v>0.32500000000000001</v>
      </c>
      <c r="S39">
        <f t="shared" si="8"/>
        <v>0.32100000000000001</v>
      </c>
      <c r="T39">
        <f t="shared" si="8"/>
        <v>0.31979999999999997</v>
      </c>
      <c r="V39">
        <v>0.42</v>
      </c>
      <c r="W39">
        <v>0</v>
      </c>
      <c r="X39">
        <v>6</v>
      </c>
      <c r="Y39">
        <v>0</v>
      </c>
      <c r="Z39">
        <v>0</v>
      </c>
      <c r="AA39">
        <v>0</v>
      </c>
    </row>
    <row r="40" spans="1:27" x14ac:dyDescent="0.15">
      <c r="A40">
        <v>22</v>
      </c>
      <c r="B40">
        <f>MeanOfLogNormalCallOption(B$18,$D$2,$D$3,$D$4,$D$5,$D$6)</f>
        <v>6.4594301160565806</v>
      </c>
      <c r="C40">
        <f>MeanOfLogNormalCallOption(C$18,$D$2,$D$3,$D$4,$D$5,$D$6)</f>
        <v>26.856031221174643</v>
      </c>
      <c r="D40">
        <f>MeanOfLogNormalCallOption(D$18,$D$2,$D$3,$D$4,$D$5,$D$6)</f>
        <v>23.685144863961895</v>
      </c>
      <c r="E40">
        <f>MeanOfLogNormalCallOption(E$18,$D$2,$D$3,$D$4,$D$5,$D$6)</f>
        <v>22.981965797700294</v>
      </c>
      <c r="F40">
        <f>MeanOfLogNormalCallOption(F$18,$D$2,$D$3,$D$4,$D$5,$D$6)</f>
        <v>21.742058538534284</v>
      </c>
      <c r="H40">
        <v>16</v>
      </c>
      <c r="I40">
        <v>2</v>
      </c>
      <c r="J40">
        <v>0</v>
      </c>
      <c r="K40">
        <v>0</v>
      </c>
      <c r="L40">
        <v>0</v>
      </c>
      <c r="M40">
        <v>0</v>
      </c>
      <c r="P40">
        <f t="shared" si="8"/>
        <v>0.4</v>
      </c>
      <c r="Q40">
        <f t="shared" si="8"/>
        <v>0.35</v>
      </c>
      <c r="R40">
        <f t="shared" si="8"/>
        <v>0.308</v>
      </c>
      <c r="S40">
        <f t="shared" si="8"/>
        <v>0.31180000000000002</v>
      </c>
      <c r="T40">
        <f t="shared" si="8"/>
        <v>0.318</v>
      </c>
      <c r="V40">
        <v>0.44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x14ac:dyDescent="0.15">
      <c r="A41">
        <v>23</v>
      </c>
      <c r="B41">
        <f>MeanOfLogNormalCallOption(B$18,$D$2,$D$3,$D$4,$D$5,$D$6)</f>
        <v>43.838553654783681</v>
      </c>
      <c r="C41">
        <f>MeanOfLogNormalCallOption(C$18,$D$2,$D$3,$D$4,$D$5,$D$6)</f>
        <v>37.836516925679291</v>
      </c>
      <c r="D41">
        <f>MeanOfLogNormalCallOption(D$18,$D$2,$D$3,$D$4,$D$5,$D$6)</f>
        <v>22.577148499094839</v>
      </c>
      <c r="E41">
        <f>MeanOfLogNormalCallOption(E$18,$D$2,$D$3,$D$4,$D$5,$D$6)</f>
        <v>23.72145170527374</v>
      </c>
      <c r="F41">
        <f>MeanOfLogNormalCallOption(F$18,$D$2,$D$3,$D$4,$D$5,$D$6)</f>
        <v>22.84869367916335</v>
      </c>
      <c r="H41">
        <v>16.5</v>
      </c>
      <c r="I41">
        <v>0</v>
      </c>
      <c r="J41">
        <v>2</v>
      </c>
      <c r="K41">
        <v>0</v>
      </c>
      <c r="L41">
        <v>0</v>
      </c>
      <c r="M41">
        <v>0</v>
      </c>
      <c r="P41">
        <f t="shared" si="8"/>
        <v>0.5</v>
      </c>
      <c r="Q41">
        <f t="shared" si="8"/>
        <v>0.35</v>
      </c>
      <c r="R41">
        <f t="shared" si="8"/>
        <v>0.34300000000000003</v>
      </c>
      <c r="S41">
        <f t="shared" si="8"/>
        <v>0.3266</v>
      </c>
      <c r="T41">
        <f t="shared" si="8"/>
        <v>0.31180000000000002</v>
      </c>
      <c r="V41">
        <v>0.46</v>
      </c>
      <c r="W41">
        <v>0</v>
      </c>
      <c r="X41">
        <v>1</v>
      </c>
      <c r="Y41">
        <v>0</v>
      </c>
      <c r="Z41">
        <v>0</v>
      </c>
      <c r="AA41">
        <v>0</v>
      </c>
    </row>
    <row r="42" spans="1:27" x14ac:dyDescent="0.15">
      <c r="A42">
        <v>24</v>
      </c>
      <c r="B42">
        <f>MeanOfLogNormalCallOption(B$18,$D$2,$D$3,$D$4,$D$5,$D$6)</f>
        <v>30.945820050245914</v>
      </c>
      <c r="C42">
        <f>MeanOfLogNormalCallOption(C$18,$D$2,$D$3,$D$4,$D$5,$D$6)</f>
        <v>27.180986471133483</v>
      </c>
      <c r="D42">
        <f>MeanOfLogNormalCallOption(D$18,$D$2,$D$3,$D$4,$D$5,$D$6)</f>
        <v>23.014846877331713</v>
      </c>
      <c r="E42">
        <f>MeanOfLogNormalCallOption(E$18,$D$2,$D$3,$D$4,$D$5,$D$6)</f>
        <v>23.335817205715649</v>
      </c>
      <c r="F42">
        <f>MeanOfLogNormalCallOption(F$18,$D$2,$D$3,$D$4,$D$5,$D$6)</f>
        <v>22.796768790749677</v>
      </c>
      <c r="H42">
        <v>17</v>
      </c>
      <c r="I42">
        <v>0</v>
      </c>
      <c r="J42">
        <v>3</v>
      </c>
      <c r="K42">
        <v>0</v>
      </c>
      <c r="L42">
        <v>0</v>
      </c>
      <c r="M42">
        <v>0</v>
      </c>
      <c r="P42">
        <f t="shared" si="8"/>
        <v>0.3</v>
      </c>
      <c r="Q42">
        <f t="shared" si="8"/>
        <v>0.34</v>
      </c>
      <c r="R42">
        <f t="shared" si="8"/>
        <v>0.29799999999999999</v>
      </c>
      <c r="S42">
        <f t="shared" si="8"/>
        <v>0.31659999999999999</v>
      </c>
      <c r="T42">
        <f t="shared" si="8"/>
        <v>0.31580000000000003</v>
      </c>
      <c r="V42">
        <v>0.48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 x14ac:dyDescent="0.15">
      <c r="A43">
        <v>25</v>
      </c>
      <c r="B43">
        <f>MeanOfLogNormalCallOption(B$18,$D$2,$D$3,$D$4,$D$5,$D$6)</f>
        <v>21.667010169947567</v>
      </c>
      <c r="C43">
        <f>MeanOfLogNormalCallOption(C$18,$D$2,$D$3,$D$4,$D$5,$D$6)</f>
        <v>23.346946851454597</v>
      </c>
      <c r="D43">
        <f>MeanOfLogNormalCallOption(D$18,$D$2,$D$3,$D$4,$D$5,$D$6)</f>
        <v>21.518145049357837</v>
      </c>
      <c r="E43">
        <f>MeanOfLogNormalCallOption(E$18,$D$2,$D$3,$D$4,$D$5,$D$6)</f>
        <v>23.329196047448377</v>
      </c>
      <c r="F43">
        <f>MeanOfLogNormalCallOption(F$18,$D$2,$D$3,$D$4,$D$5,$D$6)</f>
        <v>23.60488858946939</v>
      </c>
      <c r="H43">
        <v>17.5</v>
      </c>
      <c r="I43">
        <v>0</v>
      </c>
      <c r="J43">
        <v>4</v>
      </c>
      <c r="K43">
        <v>0</v>
      </c>
      <c r="L43">
        <v>0</v>
      </c>
      <c r="M43">
        <v>0</v>
      </c>
      <c r="P43">
        <f t="shared" si="8"/>
        <v>0.4</v>
      </c>
      <c r="Q43">
        <f t="shared" si="8"/>
        <v>0.41</v>
      </c>
      <c r="R43">
        <f t="shared" si="8"/>
        <v>0.32800000000000001</v>
      </c>
      <c r="S43">
        <f t="shared" si="8"/>
        <v>0.3044</v>
      </c>
      <c r="T43">
        <f t="shared" si="8"/>
        <v>0.307</v>
      </c>
      <c r="V43">
        <v>0.5</v>
      </c>
      <c r="W43">
        <v>10</v>
      </c>
      <c r="X43">
        <v>0</v>
      </c>
      <c r="Y43">
        <v>0</v>
      </c>
      <c r="Z43">
        <v>0</v>
      </c>
      <c r="AA43">
        <v>0</v>
      </c>
    </row>
    <row r="44" spans="1:27" x14ac:dyDescent="0.15">
      <c r="A44">
        <v>26</v>
      </c>
      <c r="B44">
        <f>MeanOfLogNormalCallOption(B$18,$D$2,$D$3,$D$4,$D$5,$D$6)</f>
        <v>44.216550560472044</v>
      </c>
      <c r="C44">
        <f>MeanOfLogNormalCallOption(C$18,$D$2,$D$3,$D$4,$D$5,$D$6)</f>
        <v>16.90977048753987</v>
      </c>
      <c r="D44">
        <f>MeanOfLogNormalCallOption(D$18,$D$2,$D$3,$D$4,$D$5,$D$6)</f>
        <v>22.053425145664114</v>
      </c>
      <c r="E44">
        <f>MeanOfLogNormalCallOption(E$18,$D$2,$D$3,$D$4,$D$5,$D$6)</f>
        <v>23.286649274911309</v>
      </c>
      <c r="F44">
        <f>MeanOfLogNormalCallOption(F$18,$D$2,$D$3,$D$4,$D$5,$D$6)</f>
        <v>22.447553663253945</v>
      </c>
      <c r="H44">
        <v>18</v>
      </c>
      <c r="I44">
        <v>1</v>
      </c>
      <c r="J44">
        <v>1</v>
      </c>
      <c r="K44">
        <v>0</v>
      </c>
      <c r="L44">
        <v>0</v>
      </c>
      <c r="M44">
        <v>0</v>
      </c>
      <c r="P44">
        <f t="shared" si="8"/>
        <v>0.3</v>
      </c>
      <c r="Q44">
        <f t="shared" si="8"/>
        <v>0.38</v>
      </c>
      <c r="R44">
        <f t="shared" si="8"/>
        <v>0.28100000000000003</v>
      </c>
      <c r="S44">
        <f t="shared" si="8"/>
        <v>0.31619999999999998</v>
      </c>
      <c r="T44">
        <f t="shared" si="8"/>
        <v>0.31979999999999997</v>
      </c>
      <c r="V44">
        <v>0.52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15">
      <c r="A45">
        <v>27</v>
      </c>
      <c r="B45">
        <f>MeanOfLogNormalCallOption(B$18,$D$2,$D$3,$D$4,$D$5,$D$6)</f>
        <v>8.9773324297508523</v>
      </c>
      <c r="C45">
        <f>MeanOfLogNormalCallOption(C$18,$D$2,$D$3,$D$4,$D$5,$D$6)</f>
        <v>22.865033857302155</v>
      </c>
      <c r="D45">
        <f>MeanOfLogNormalCallOption(D$18,$D$2,$D$3,$D$4,$D$5,$D$6)</f>
        <v>20.610138360040128</v>
      </c>
      <c r="E45">
        <f>MeanOfLogNormalCallOption(E$18,$D$2,$D$3,$D$4,$D$5,$D$6)</f>
        <v>22.538129007570639</v>
      </c>
      <c r="F45">
        <f>MeanOfLogNormalCallOption(F$18,$D$2,$D$3,$D$4,$D$5,$D$6)</f>
        <v>22.17910742611712</v>
      </c>
      <c r="H45">
        <v>18.5</v>
      </c>
      <c r="I45">
        <v>1</v>
      </c>
      <c r="J45">
        <v>2</v>
      </c>
      <c r="K45">
        <v>0</v>
      </c>
      <c r="L45">
        <v>0</v>
      </c>
      <c r="M45">
        <v>0</v>
      </c>
      <c r="P45">
        <f t="shared" si="8"/>
        <v>0.2</v>
      </c>
      <c r="Q45">
        <f t="shared" si="8"/>
        <v>0.32</v>
      </c>
      <c r="R45">
        <f t="shared" si="8"/>
        <v>0.32800000000000001</v>
      </c>
      <c r="S45">
        <f t="shared" si="8"/>
        <v>0.32240000000000002</v>
      </c>
      <c r="T45">
        <f t="shared" si="8"/>
        <v>0.31180000000000002</v>
      </c>
      <c r="V45">
        <v>0.54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 x14ac:dyDescent="0.15">
      <c r="A46">
        <v>28</v>
      </c>
      <c r="B46">
        <f>MeanOfLogNormalCallOption(B$18,$D$2,$D$3,$D$4,$D$5,$D$6)</f>
        <v>7.7217332360631001</v>
      </c>
      <c r="C46">
        <f>MeanOfLogNormalCallOption(C$18,$D$2,$D$3,$D$4,$D$5,$D$6)</f>
        <v>25.456466140777806</v>
      </c>
      <c r="D46">
        <f>MeanOfLogNormalCallOption(D$18,$D$2,$D$3,$D$4,$D$5,$D$6)</f>
        <v>22.033987730664613</v>
      </c>
      <c r="E46">
        <f>MeanOfLogNormalCallOption(E$18,$D$2,$D$3,$D$4,$D$5,$D$6)</f>
        <v>23.716582669599308</v>
      </c>
      <c r="F46">
        <f>MeanOfLogNormalCallOption(F$18,$D$2,$D$3,$D$4,$D$5,$D$6)</f>
        <v>23.121730396876863</v>
      </c>
      <c r="H46">
        <v>19</v>
      </c>
      <c r="I46">
        <v>0</v>
      </c>
      <c r="J46">
        <v>5</v>
      </c>
      <c r="K46">
        <v>1</v>
      </c>
      <c r="L46">
        <v>0</v>
      </c>
      <c r="M46">
        <v>0</v>
      </c>
      <c r="P46">
        <f t="shared" si="8"/>
        <v>0.2</v>
      </c>
      <c r="Q46">
        <f t="shared" si="8"/>
        <v>0.32</v>
      </c>
      <c r="R46">
        <f t="shared" si="8"/>
        <v>0.30399999999999999</v>
      </c>
      <c r="S46">
        <f t="shared" si="8"/>
        <v>0.30199999999999999</v>
      </c>
      <c r="T46">
        <f t="shared" si="8"/>
        <v>0.31879999999999997</v>
      </c>
      <c r="V46">
        <v>0.56000000000000005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 x14ac:dyDescent="0.15">
      <c r="A47">
        <v>29</v>
      </c>
      <c r="B47">
        <f>MeanOfLogNormalCallOption(B$18,$D$2,$D$3,$D$4,$D$5,$D$6)</f>
        <v>26.585667798726757</v>
      </c>
      <c r="C47">
        <f>MeanOfLogNormalCallOption(C$18,$D$2,$D$3,$D$4,$D$5,$D$6)</f>
        <v>26.079969222208504</v>
      </c>
      <c r="D47">
        <f>MeanOfLogNormalCallOption(D$18,$D$2,$D$3,$D$4,$D$5,$D$6)</f>
        <v>22.159927598043563</v>
      </c>
      <c r="E47">
        <f>MeanOfLogNormalCallOption(E$18,$D$2,$D$3,$D$4,$D$5,$D$6)</f>
        <v>23.872842205969778</v>
      </c>
      <c r="F47">
        <f>MeanOfLogNormalCallOption(F$18,$D$2,$D$3,$D$4,$D$5,$D$6)</f>
        <v>23.061642977462817</v>
      </c>
      <c r="H47">
        <v>19.5</v>
      </c>
      <c r="I47">
        <v>2</v>
      </c>
      <c r="J47">
        <v>3</v>
      </c>
      <c r="K47">
        <v>1</v>
      </c>
      <c r="L47">
        <v>0</v>
      </c>
      <c r="M47">
        <v>0</v>
      </c>
      <c r="P47">
        <f t="shared" si="8"/>
        <v>0.1</v>
      </c>
      <c r="Q47">
        <f t="shared" si="8"/>
        <v>0.37</v>
      </c>
      <c r="R47">
        <f t="shared" si="8"/>
        <v>0.307</v>
      </c>
      <c r="S47">
        <f t="shared" si="8"/>
        <v>0.31740000000000002</v>
      </c>
      <c r="T47">
        <f t="shared" si="8"/>
        <v>0.31090000000000001</v>
      </c>
      <c r="V47">
        <v>0.57999999999999996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x14ac:dyDescent="0.15">
      <c r="A48">
        <v>30</v>
      </c>
      <c r="B48">
        <f>MeanOfLogNormalCallOption(B$18,$D$2,$D$3,$D$4,$D$5,$D$6)</f>
        <v>4.7677506311950228</v>
      </c>
      <c r="C48">
        <f>MeanOfLogNormalCallOption(C$18,$D$2,$D$3,$D$4,$D$5,$D$6)</f>
        <v>33.172174298978732</v>
      </c>
      <c r="D48">
        <f>MeanOfLogNormalCallOption(D$18,$D$2,$D$3,$D$4,$D$5,$D$6)</f>
        <v>20.956159546005775</v>
      </c>
      <c r="E48">
        <f>MeanOfLogNormalCallOption(E$18,$D$2,$D$3,$D$4,$D$5,$D$6)</f>
        <v>23.615506865706969</v>
      </c>
      <c r="F48">
        <f>MeanOfLogNormalCallOption(F$18,$D$2,$D$3,$D$4,$D$5,$D$6)</f>
        <v>23.193670523301886</v>
      </c>
      <c r="H48">
        <v>20</v>
      </c>
      <c r="I48">
        <v>3</v>
      </c>
      <c r="J48">
        <v>2</v>
      </c>
      <c r="K48">
        <v>1</v>
      </c>
      <c r="L48">
        <v>0</v>
      </c>
      <c r="M48">
        <v>0</v>
      </c>
      <c r="P48">
        <f t="shared" si="8"/>
        <v>0.4</v>
      </c>
      <c r="Q48">
        <f t="shared" si="8"/>
        <v>0.34</v>
      </c>
      <c r="R48">
        <f t="shared" si="8"/>
        <v>0.316</v>
      </c>
      <c r="S48">
        <f t="shared" si="8"/>
        <v>0.31119999999999998</v>
      </c>
      <c r="T48">
        <f t="shared" si="8"/>
        <v>0.32179999999999997</v>
      </c>
      <c r="V48">
        <v>0.6</v>
      </c>
      <c r="W48">
        <v>1</v>
      </c>
      <c r="X48">
        <v>0</v>
      </c>
      <c r="Y48">
        <v>0</v>
      </c>
      <c r="Z48">
        <v>0</v>
      </c>
      <c r="AA48">
        <v>0</v>
      </c>
    </row>
    <row r="49" spans="1:20" x14ac:dyDescent="0.15">
      <c r="A49">
        <v>31</v>
      </c>
      <c r="B49">
        <f>MeanOfLogNormalCallOption(B$18,$D$2,$D$3,$D$4,$D$5,$D$6)</f>
        <v>3.9898661563155344</v>
      </c>
      <c r="C49">
        <f>MeanOfLogNormalCallOption(C$18,$D$2,$D$3,$D$4,$D$5,$D$6)</f>
        <v>17.606906906807851</v>
      </c>
      <c r="D49">
        <f>MeanOfLogNormalCallOption(D$18,$D$2,$D$3,$D$4,$D$5,$D$6)</f>
        <v>24.314018848828429</v>
      </c>
      <c r="E49">
        <f>MeanOfLogNormalCallOption(E$18,$D$2,$D$3,$D$4,$D$5,$D$6)</f>
        <v>23.455608209907549</v>
      </c>
      <c r="F49">
        <f>MeanOfLogNormalCallOption(F$18,$D$2,$D$3,$D$4,$D$5,$D$6)</f>
        <v>23.99280502337994</v>
      </c>
      <c r="H49">
        <v>20.5</v>
      </c>
      <c r="I49">
        <v>2</v>
      </c>
      <c r="J49">
        <v>3</v>
      </c>
      <c r="K49">
        <v>4</v>
      </c>
      <c r="L49">
        <v>0</v>
      </c>
      <c r="M49">
        <v>0</v>
      </c>
      <c r="P49">
        <f t="shared" si="8"/>
        <v>0.2</v>
      </c>
      <c r="Q49">
        <f t="shared" si="8"/>
        <v>0.28000000000000003</v>
      </c>
      <c r="R49">
        <f t="shared" si="8"/>
        <v>0.31900000000000001</v>
      </c>
      <c r="S49">
        <f t="shared" si="8"/>
        <v>0.31640000000000001</v>
      </c>
      <c r="T49">
        <f t="shared" si="8"/>
        <v>0.31790000000000002</v>
      </c>
    </row>
    <row r="50" spans="1:20" x14ac:dyDescent="0.15">
      <c r="A50">
        <v>32</v>
      </c>
      <c r="B50">
        <f>MeanOfLogNormalCallOption(B$18,$D$2,$D$3,$D$4,$D$5,$D$6)</f>
        <v>50.751808889091258</v>
      </c>
      <c r="C50">
        <f>MeanOfLogNormalCallOption(C$18,$D$2,$D$3,$D$4,$D$5,$D$6)</f>
        <v>25.519680963814526</v>
      </c>
      <c r="D50">
        <f>MeanOfLogNormalCallOption(D$18,$D$2,$D$3,$D$4,$D$5,$D$6)</f>
        <v>22.206103318507516</v>
      </c>
      <c r="E50">
        <f>MeanOfLogNormalCallOption(E$18,$D$2,$D$3,$D$4,$D$5,$D$6)</f>
        <v>23.585673854686117</v>
      </c>
      <c r="F50">
        <f>MeanOfLogNormalCallOption(F$18,$D$2,$D$3,$D$4,$D$5,$D$6)</f>
        <v>23.308413868411584</v>
      </c>
      <c r="H50">
        <v>21</v>
      </c>
      <c r="I50">
        <v>0</v>
      </c>
      <c r="J50">
        <v>4</v>
      </c>
      <c r="K50">
        <v>6</v>
      </c>
      <c r="L50">
        <v>1</v>
      </c>
      <c r="M50">
        <v>0</v>
      </c>
      <c r="P50">
        <f t="shared" si="8"/>
        <v>0.4</v>
      </c>
      <c r="Q50">
        <f t="shared" si="8"/>
        <v>0.33</v>
      </c>
      <c r="R50">
        <f t="shared" si="8"/>
        <v>0.32600000000000001</v>
      </c>
      <c r="S50">
        <f t="shared" si="8"/>
        <v>0.32319999999999999</v>
      </c>
      <c r="T50">
        <f t="shared" si="8"/>
        <v>0.3211</v>
      </c>
    </row>
    <row r="51" spans="1:20" x14ac:dyDescent="0.15">
      <c r="A51">
        <v>33</v>
      </c>
      <c r="B51">
        <f>MeanOfLogNormalCallOption(B$18,$D$2,$D$3,$D$4,$D$5,$D$6)</f>
        <v>30.150329111518175</v>
      </c>
      <c r="C51">
        <f>MeanOfLogNormalCallOption(C$18,$D$2,$D$3,$D$4,$D$5,$D$6)</f>
        <v>16.639107773819166</v>
      </c>
      <c r="D51">
        <f>MeanOfLogNormalCallOption(D$18,$D$2,$D$3,$D$4,$D$5,$D$6)</f>
        <v>22.060521960086774</v>
      </c>
      <c r="E51">
        <f>MeanOfLogNormalCallOption(E$18,$D$2,$D$3,$D$4,$D$5,$D$6)</f>
        <v>22.427824573910812</v>
      </c>
      <c r="F51">
        <f>MeanOfLogNormalCallOption(F$18,$D$2,$D$3,$D$4,$D$5,$D$6)</f>
        <v>23.275874088072872</v>
      </c>
      <c r="H51">
        <v>21.5</v>
      </c>
      <c r="I51">
        <v>4</v>
      </c>
      <c r="J51">
        <v>3</v>
      </c>
      <c r="K51">
        <v>6</v>
      </c>
      <c r="L51">
        <v>3</v>
      </c>
      <c r="M51">
        <v>1</v>
      </c>
      <c r="P51">
        <f t="shared" si="8"/>
        <v>0.1</v>
      </c>
      <c r="Q51">
        <f t="shared" si="8"/>
        <v>0.27</v>
      </c>
      <c r="R51">
        <f t="shared" si="8"/>
        <v>0.32100000000000001</v>
      </c>
      <c r="S51">
        <f t="shared" si="8"/>
        <v>0.31019999999999998</v>
      </c>
      <c r="T51">
        <f t="shared" si="8"/>
        <v>0.3135</v>
      </c>
    </row>
    <row r="52" spans="1:20" x14ac:dyDescent="0.15">
      <c r="A52">
        <v>34</v>
      </c>
      <c r="B52">
        <f>MeanOfLogNormalCallOption(B$18,$D$2,$D$3,$D$4,$D$5,$D$6)</f>
        <v>12.895936809736597</v>
      </c>
      <c r="C52">
        <f>MeanOfLogNormalCallOption(C$18,$D$2,$D$3,$D$4,$D$5,$D$6)</f>
        <v>34.338967517191065</v>
      </c>
      <c r="D52">
        <f>MeanOfLogNormalCallOption(D$18,$D$2,$D$3,$D$4,$D$5,$D$6)</f>
        <v>22.545598532511519</v>
      </c>
      <c r="E52">
        <f>MeanOfLogNormalCallOption(E$18,$D$2,$D$3,$D$4,$D$5,$D$6)</f>
        <v>22.372053657875696</v>
      </c>
      <c r="F52">
        <f>MeanOfLogNormalCallOption(F$18,$D$2,$D$3,$D$4,$D$5,$D$6)</f>
        <v>23.587894063355218</v>
      </c>
      <c r="H52">
        <v>22</v>
      </c>
      <c r="I52">
        <v>3</v>
      </c>
      <c r="J52">
        <v>4</v>
      </c>
      <c r="K52">
        <v>9</v>
      </c>
      <c r="L52">
        <v>7</v>
      </c>
      <c r="M52">
        <v>9</v>
      </c>
      <c r="P52">
        <f t="shared" ref="P52:T67" si="9">MeanOfLogNormalDigitalOption(P$18,$D$2,$D$3,$D$4,$D$5,$D$6)</f>
        <v>0.2</v>
      </c>
      <c r="Q52">
        <f t="shared" si="9"/>
        <v>0.28999999999999998</v>
      </c>
      <c r="R52">
        <f t="shared" si="9"/>
        <v>0.32300000000000001</v>
      </c>
      <c r="S52">
        <f t="shared" si="9"/>
        <v>0.30980000000000002</v>
      </c>
      <c r="T52">
        <f t="shared" si="9"/>
        <v>0.31019999999999998</v>
      </c>
    </row>
    <row r="53" spans="1:20" x14ac:dyDescent="0.15">
      <c r="A53">
        <v>35</v>
      </c>
      <c r="B53">
        <f>MeanOfLogNormalCallOption(B$18,$D$2,$D$3,$D$4,$D$5,$D$6)</f>
        <v>7.3616265251338167</v>
      </c>
      <c r="C53">
        <f>MeanOfLogNormalCallOption(C$18,$D$2,$D$3,$D$4,$D$5,$D$6)</f>
        <v>35.006079575912594</v>
      </c>
      <c r="D53">
        <f>MeanOfLogNormalCallOption(D$18,$D$2,$D$3,$D$4,$D$5,$D$6)</f>
        <v>26.29779066876818</v>
      </c>
      <c r="E53">
        <f>MeanOfLogNormalCallOption(E$18,$D$2,$D$3,$D$4,$D$5,$D$6)</f>
        <v>23.243440553941777</v>
      </c>
      <c r="F53">
        <f>MeanOfLogNormalCallOption(F$18,$D$2,$D$3,$D$4,$D$5,$D$6)</f>
        <v>22.581503159516959</v>
      </c>
      <c r="H53">
        <v>22.5</v>
      </c>
      <c r="I53">
        <v>0</v>
      </c>
      <c r="J53">
        <v>1</v>
      </c>
      <c r="K53">
        <v>9</v>
      </c>
      <c r="L53">
        <v>21</v>
      </c>
      <c r="M53">
        <v>19</v>
      </c>
      <c r="P53">
        <f t="shared" si="9"/>
        <v>0.4</v>
      </c>
      <c r="Q53">
        <f t="shared" si="9"/>
        <v>0.34</v>
      </c>
      <c r="R53">
        <f t="shared" si="9"/>
        <v>0.313</v>
      </c>
      <c r="S53">
        <f t="shared" si="9"/>
        <v>0.32400000000000001</v>
      </c>
      <c r="T53">
        <f t="shared" si="9"/>
        <v>0.32100000000000001</v>
      </c>
    </row>
    <row r="54" spans="1:20" x14ac:dyDescent="0.15">
      <c r="A54">
        <v>36</v>
      </c>
      <c r="B54">
        <f>MeanOfLogNormalCallOption(B$18,$D$2,$D$3,$D$4,$D$5,$D$6)</f>
        <v>4.0287161315651883</v>
      </c>
      <c r="C54">
        <f>MeanOfLogNormalCallOption(C$18,$D$2,$D$3,$D$4,$D$5,$D$6)</f>
        <v>29.1838495341838</v>
      </c>
      <c r="D54">
        <f>MeanOfLogNormalCallOption(D$18,$D$2,$D$3,$D$4,$D$5,$D$6)</f>
        <v>22.350618669113633</v>
      </c>
      <c r="E54">
        <f>MeanOfLogNormalCallOption(E$18,$D$2,$D$3,$D$4,$D$5,$D$6)</f>
        <v>22.767928121446744</v>
      </c>
      <c r="F54">
        <f>MeanOfLogNormalCallOption(F$18,$D$2,$D$3,$D$4,$D$5,$D$6)</f>
        <v>22.436526433773718</v>
      </c>
      <c r="H54">
        <v>23</v>
      </c>
      <c r="I54">
        <v>0</v>
      </c>
      <c r="J54">
        <v>3</v>
      </c>
      <c r="K54">
        <v>12</v>
      </c>
      <c r="L54">
        <v>20</v>
      </c>
      <c r="M54">
        <v>26</v>
      </c>
      <c r="P54">
        <f t="shared" si="9"/>
        <v>0.1</v>
      </c>
      <c r="Q54">
        <f t="shared" si="9"/>
        <v>0.24</v>
      </c>
      <c r="R54">
        <f t="shared" si="9"/>
        <v>0.28100000000000003</v>
      </c>
      <c r="S54">
        <f t="shared" si="9"/>
        <v>0.3196</v>
      </c>
      <c r="T54">
        <f t="shared" si="9"/>
        <v>0.316</v>
      </c>
    </row>
    <row r="55" spans="1:20" x14ac:dyDescent="0.15">
      <c r="A55">
        <v>37</v>
      </c>
      <c r="B55">
        <f>MeanOfLogNormalCallOption(B$18,$D$2,$D$3,$D$4,$D$5,$D$6)</f>
        <v>0</v>
      </c>
      <c r="C55">
        <f>MeanOfLogNormalCallOption(C$18,$D$2,$D$3,$D$4,$D$5,$D$6)</f>
        <v>15.458158734072253</v>
      </c>
      <c r="D55">
        <f>MeanOfLogNormalCallOption(D$18,$D$2,$D$3,$D$4,$D$5,$D$6)</f>
        <v>23.776526167628194</v>
      </c>
      <c r="E55">
        <f>MeanOfLogNormalCallOption(E$18,$D$2,$D$3,$D$4,$D$5,$D$6)</f>
        <v>22.321964322908737</v>
      </c>
      <c r="F55">
        <f>MeanOfLogNormalCallOption(F$18,$D$2,$D$3,$D$4,$D$5,$D$6)</f>
        <v>23.02232176397796</v>
      </c>
      <c r="H55">
        <v>23.5</v>
      </c>
      <c r="I55">
        <v>0</v>
      </c>
      <c r="J55">
        <v>1</v>
      </c>
      <c r="K55">
        <v>8</v>
      </c>
      <c r="L55">
        <v>19</v>
      </c>
      <c r="M55">
        <v>19</v>
      </c>
      <c r="P55">
        <f t="shared" si="9"/>
        <v>0.2</v>
      </c>
      <c r="Q55">
        <f t="shared" si="9"/>
        <v>0.28999999999999998</v>
      </c>
      <c r="R55">
        <f t="shared" si="9"/>
        <v>0.35499999999999998</v>
      </c>
      <c r="S55">
        <f t="shared" si="9"/>
        <v>0.32179999999999997</v>
      </c>
      <c r="T55">
        <f t="shared" si="9"/>
        <v>0.31609999999999999</v>
      </c>
    </row>
    <row r="56" spans="1:20" x14ac:dyDescent="0.15">
      <c r="A56">
        <v>38</v>
      </c>
      <c r="B56">
        <f>MeanOfLogNormalCallOption(B$18,$D$2,$D$3,$D$4,$D$5,$D$6)</f>
        <v>2.5787430806759879</v>
      </c>
      <c r="C56">
        <f>MeanOfLogNormalCallOption(C$18,$D$2,$D$3,$D$4,$D$5,$D$6)</f>
        <v>24.380096046245047</v>
      </c>
      <c r="D56">
        <f>MeanOfLogNormalCallOption(D$18,$D$2,$D$3,$D$4,$D$5,$D$6)</f>
        <v>23.814568188956699</v>
      </c>
      <c r="E56">
        <f>MeanOfLogNormalCallOption(E$18,$D$2,$D$3,$D$4,$D$5,$D$6)</f>
        <v>23.002646627758697</v>
      </c>
      <c r="F56">
        <f>MeanOfLogNormalCallOption(F$18,$D$2,$D$3,$D$4,$D$5,$D$6)</f>
        <v>23.943576096185556</v>
      </c>
      <c r="H56">
        <v>24</v>
      </c>
      <c r="I56">
        <v>2</v>
      </c>
      <c r="J56">
        <v>3</v>
      </c>
      <c r="K56">
        <v>9</v>
      </c>
      <c r="L56">
        <v>13</v>
      </c>
      <c r="M56">
        <v>13</v>
      </c>
      <c r="P56">
        <f t="shared" si="9"/>
        <v>0.5</v>
      </c>
      <c r="Q56">
        <f t="shared" si="9"/>
        <v>0.35</v>
      </c>
      <c r="R56">
        <f t="shared" si="9"/>
        <v>0.30199999999999999</v>
      </c>
      <c r="S56">
        <f t="shared" si="9"/>
        <v>0.31840000000000002</v>
      </c>
      <c r="T56">
        <f t="shared" si="9"/>
        <v>0.31619999999999998</v>
      </c>
    </row>
    <row r="57" spans="1:20" x14ac:dyDescent="0.15">
      <c r="A57">
        <v>39</v>
      </c>
      <c r="B57">
        <f>MeanOfLogNormalCallOption(B$18,$D$2,$D$3,$D$4,$D$5,$D$6)</f>
        <v>29.929138420274466</v>
      </c>
      <c r="C57">
        <f>MeanOfLogNormalCallOption(C$18,$D$2,$D$3,$D$4,$D$5,$D$6)</f>
        <v>18.815135164107527</v>
      </c>
      <c r="D57">
        <f>MeanOfLogNormalCallOption(D$18,$D$2,$D$3,$D$4,$D$5,$D$6)</f>
        <v>25.961363448079798</v>
      </c>
      <c r="E57">
        <f>MeanOfLogNormalCallOption(E$18,$D$2,$D$3,$D$4,$D$5,$D$6)</f>
        <v>21.312431265888883</v>
      </c>
      <c r="F57">
        <f>MeanOfLogNormalCallOption(F$18,$D$2,$D$3,$D$4,$D$5,$D$6)</f>
        <v>22.619963900127519</v>
      </c>
      <c r="H57">
        <v>24.5</v>
      </c>
      <c r="I57">
        <v>0</v>
      </c>
      <c r="J57">
        <v>4</v>
      </c>
      <c r="K57">
        <v>9</v>
      </c>
      <c r="L57">
        <v>4</v>
      </c>
      <c r="M57">
        <v>3</v>
      </c>
      <c r="P57">
        <f t="shared" si="9"/>
        <v>0.3</v>
      </c>
      <c r="Q57">
        <f t="shared" si="9"/>
        <v>0.34</v>
      </c>
      <c r="R57">
        <f t="shared" si="9"/>
        <v>0.30499999999999999</v>
      </c>
      <c r="S57">
        <f t="shared" si="9"/>
        <v>0.31219999999999998</v>
      </c>
      <c r="T57">
        <f t="shared" si="9"/>
        <v>0.311</v>
      </c>
    </row>
    <row r="58" spans="1:20" x14ac:dyDescent="0.15">
      <c r="A58">
        <v>40</v>
      </c>
      <c r="B58">
        <f>MeanOfLogNormalCallOption(B$18,$D$2,$D$3,$D$4,$D$5,$D$6)</f>
        <v>79.003674421609361</v>
      </c>
      <c r="C58">
        <f>MeanOfLogNormalCallOption(C$18,$D$2,$D$3,$D$4,$D$5,$D$6)</f>
        <v>25.80624049179529</v>
      </c>
      <c r="D58">
        <f>MeanOfLogNormalCallOption(D$18,$D$2,$D$3,$D$4,$D$5,$D$6)</f>
        <v>22.768174247015928</v>
      </c>
      <c r="E58">
        <f>MeanOfLogNormalCallOption(E$18,$D$2,$D$3,$D$4,$D$5,$D$6)</f>
        <v>21.444872352866</v>
      </c>
      <c r="F58">
        <f>MeanOfLogNormalCallOption(F$18,$D$2,$D$3,$D$4,$D$5,$D$6)</f>
        <v>23.598802609685688</v>
      </c>
      <c r="H58">
        <v>25</v>
      </c>
      <c r="I58">
        <v>2</v>
      </c>
      <c r="J58">
        <v>1</v>
      </c>
      <c r="K58">
        <v>5</v>
      </c>
      <c r="L58">
        <v>1</v>
      </c>
      <c r="M58">
        <v>0</v>
      </c>
      <c r="P58">
        <f t="shared" si="9"/>
        <v>0.3</v>
      </c>
      <c r="Q58">
        <f t="shared" si="9"/>
        <v>0.42</v>
      </c>
      <c r="R58">
        <f t="shared" si="9"/>
        <v>0.32200000000000001</v>
      </c>
      <c r="S58">
        <f t="shared" si="9"/>
        <v>0.31640000000000001</v>
      </c>
      <c r="T58">
        <f t="shared" si="9"/>
        <v>0.312</v>
      </c>
    </row>
    <row r="59" spans="1:20" x14ac:dyDescent="0.15">
      <c r="A59">
        <v>41</v>
      </c>
      <c r="B59">
        <f>MeanOfLogNormalCallOption(B$18,$D$2,$D$3,$D$4,$D$5,$D$6)</f>
        <v>62.066525314777451</v>
      </c>
      <c r="C59">
        <f>MeanOfLogNormalCallOption(C$18,$D$2,$D$3,$D$4,$D$5,$D$6)</f>
        <v>17.040765777759844</v>
      </c>
      <c r="D59">
        <f>MeanOfLogNormalCallOption(D$18,$D$2,$D$3,$D$4,$D$5,$D$6)</f>
        <v>23.640372936565804</v>
      </c>
      <c r="E59">
        <f>MeanOfLogNormalCallOption(E$18,$D$2,$D$3,$D$4,$D$5,$D$6)</f>
        <v>25.310090471434091</v>
      </c>
      <c r="F59">
        <f>MeanOfLogNormalCallOption(F$18,$D$2,$D$3,$D$4,$D$5,$D$6)</f>
        <v>22.782640308612411</v>
      </c>
      <c r="H59">
        <v>25.5</v>
      </c>
      <c r="I59">
        <v>0</v>
      </c>
      <c r="J59">
        <v>2</v>
      </c>
      <c r="K59">
        <v>2</v>
      </c>
      <c r="L59">
        <v>1</v>
      </c>
      <c r="M59">
        <v>0</v>
      </c>
      <c r="P59">
        <f t="shared" si="9"/>
        <v>0.3</v>
      </c>
      <c r="Q59">
        <f t="shared" si="9"/>
        <v>0.27</v>
      </c>
      <c r="R59">
        <f t="shared" si="9"/>
        <v>0.29699999999999999</v>
      </c>
      <c r="S59">
        <f t="shared" si="9"/>
        <v>0.31159999999999999</v>
      </c>
      <c r="T59">
        <f t="shared" si="9"/>
        <v>0.31869999999999998</v>
      </c>
    </row>
    <row r="60" spans="1:20" x14ac:dyDescent="0.15">
      <c r="A60">
        <v>42</v>
      </c>
      <c r="B60">
        <f>MeanOfLogNormalCallOption(B$18,$D$2,$D$3,$D$4,$D$5,$D$6)</f>
        <v>6.6150656614699912</v>
      </c>
      <c r="C60">
        <f>MeanOfLogNormalCallOption(C$18,$D$2,$D$3,$D$4,$D$5,$D$6)</f>
        <v>37.022044295700283</v>
      </c>
      <c r="D60">
        <f>MeanOfLogNormalCallOption(D$18,$D$2,$D$3,$D$4,$D$5,$D$6)</f>
        <v>21.946194781381021</v>
      </c>
      <c r="E60">
        <f>MeanOfLogNormalCallOption(E$18,$D$2,$D$3,$D$4,$D$5,$D$6)</f>
        <v>21.889766266395849</v>
      </c>
      <c r="F60">
        <f>MeanOfLogNormalCallOption(F$18,$D$2,$D$3,$D$4,$D$5,$D$6)</f>
        <v>23.518897098354312</v>
      </c>
      <c r="H60">
        <v>26</v>
      </c>
      <c r="I60">
        <v>1</v>
      </c>
      <c r="J60">
        <v>6</v>
      </c>
      <c r="K60">
        <v>3</v>
      </c>
      <c r="L60">
        <v>0</v>
      </c>
      <c r="M60">
        <v>0</v>
      </c>
      <c r="P60">
        <f t="shared" si="9"/>
        <v>0.2</v>
      </c>
      <c r="Q60">
        <f t="shared" si="9"/>
        <v>0.34</v>
      </c>
      <c r="R60">
        <f t="shared" si="9"/>
        <v>0.32400000000000001</v>
      </c>
      <c r="S60">
        <f t="shared" si="9"/>
        <v>0.32519999999999999</v>
      </c>
      <c r="T60">
        <f t="shared" si="9"/>
        <v>0.3145</v>
      </c>
    </row>
    <row r="61" spans="1:20" x14ac:dyDescent="0.15">
      <c r="A61">
        <v>43</v>
      </c>
      <c r="B61">
        <f>MeanOfLogNormalCallOption(B$18,$D$2,$D$3,$D$4,$D$5,$D$6)</f>
        <v>40.998394187090852</v>
      </c>
      <c r="C61">
        <f>MeanOfLogNormalCallOption(C$18,$D$2,$D$3,$D$4,$D$5,$D$6)</f>
        <v>21.724323090025141</v>
      </c>
      <c r="D61">
        <f>MeanOfLogNormalCallOption(D$18,$D$2,$D$3,$D$4,$D$5,$D$6)</f>
        <v>23.573865584003631</v>
      </c>
      <c r="E61">
        <f>MeanOfLogNormalCallOption(E$18,$D$2,$D$3,$D$4,$D$5,$D$6)</f>
        <v>22.464427356281146</v>
      </c>
      <c r="F61">
        <f>MeanOfLogNormalCallOption(F$18,$D$2,$D$3,$D$4,$D$5,$D$6)</f>
        <v>23.419528326429848</v>
      </c>
      <c r="H61">
        <v>26.5</v>
      </c>
      <c r="I61">
        <v>0</v>
      </c>
      <c r="J61">
        <v>1</v>
      </c>
      <c r="K61">
        <v>2</v>
      </c>
      <c r="L61">
        <v>0</v>
      </c>
      <c r="M61">
        <v>0</v>
      </c>
      <c r="P61">
        <f t="shared" si="9"/>
        <v>0.5</v>
      </c>
      <c r="Q61">
        <f t="shared" si="9"/>
        <v>0.26</v>
      </c>
      <c r="R61">
        <f t="shared" si="9"/>
        <v>0.28799999999999998</v>
      </c>
      <c r="S61">
        <f t="shared" si="9"/>
        <v>0.3382</v>
      </c>
      <c r="T61">
        <f t="shared" si="9"/>
        <v>0.31769999999999998</v>
      </c>
    </row>
    <row r="62" spans="1:20" x14ac:dyDescent="0.15">
      <c r="A62">
        <v>44</v>
      </c>
      <c r="B62">
        <f>MeanOfLogNormalCallOption(B$18,$D$2,$D$3,$D$4,$D$5,$D$6)</f>
        <v>14.838476488186728</v>
      </c>
      <c r="C62">
        <f>MeanOfLogNormalCallOption(C$18,$D$2,$D$3,$D$4,$D$5,$D$6)</f>
        <v>25.337359601552521</v>
      </c>
      <c r="D62">
        <f>MeanOfLogNormalCallOption(D$18,$D$2,$D$3,$D$4,$D$5,$D$6)</f>
        <v>22.569193127299197</v>
      </c>
      <c r="E62">
        <f>MeanOfLogNormalCallOption(E$18,$D$2,$D$3,$D$4,$D$5,$D$6)</f>
        <v>22.880433695789463</v>
      </c>
      <c r="F62">
        <f>MeanOfLogNormalCallOption(F$18,$D$2,$D$3,$D$4,$D$5,$D$6)</f>
        <v>24.067917380764154</v>
      </c>
      <c r="H62">
        <v>27</v>
      </c>
      <c r="I62">
        <v>2</v>
      </c>
      <c r="J62">
        <v>3</v>
      </c>
      <c r="K62">
        <v>1</v>
      </c>
      <c r="L62">
        <v>0</v>
      </c>
      <c r="M62">
        <v>0</v>
      </c>
      <c r="P62">
        <f t="shared" si="9"/>
        <v>0.2</v>
      </c>
      <c r="Q62">
        <f t="shared" si="9"/>
        <v>0.3</v>
      </c>
      <c r="R62">
        <f t="shared" si="9"/>
        <v>0.33100000000000002</v>
      </c>
      <c r="S62">
        <f t="shared" si="9"/>
        <v>0.31859999999999999</v>
      </c>
      <c r="T62">
        <f t="shared" si="9"/>
        <v>0.31790000000000002</v>
      </c>
    </row>
    <row r="63" spans="1:20" x14ac:dyDescent="0.15">
      <c r="A63">
        <v>45</v>
      </c>
      <c r="B63">
        <f>MeanOfLogNormalCallOption(B$18,$D$2,$D$3,$D$4,$D$5,$D$6)</f>
        <v>9.0899928762094753</v>
      </c>
      <c r="C63">
        <f>MeanOfLogNormalCallOption(C$18,$D$2,$D$3,$D$4,$D$5,$D$6)</f>
        <v>15.131649121518066</v>
      </c>
      <c r="D63">
        <f>MeanOfLogNormalCallOption(D$18,$D$2,$D$3,$D$4,$D$5,$D$6)</f>
        <v>24.873514045648339</v>
      </c>
      <c r="E63">
        <f>MeanOfLogNormalCallOption(E$18,$D$2,$D$3,$D$4,$D$5,$D$6)</f>
        <v>22.713248634043168</v>
      </c>
      <c r="F63">
        <f>MeanOfLogNormalCallOption(F$18,$D$2,$D$3,$D$4,$D$5,$D$6)</f>
        <v>22.810346970821616</v>
      </c>
      <c r="H63">
        <v>27.5</v>
      </c>
      <c r="I63">
        <v>1</v>
      </c>
      <c r="J63">
        <v>1</v>
      </c>
      <c r="K63">
        <v>2</v>
      </c>
      <c r="L63">
        <v>0</v>
      </c>
      <c r="M63">
        <v>0</v>
      </c>
      <c r="P63">
        <f t="shared" si="9"/>
        <v>0.1</v>
      </c>
      <c r="Q63">
        <f t="shared" si="9"/>
        <v>0.3</v>
      </c>
      <c r="R63">
        <f t="shared" si="9"/>
        <v>0.312</v>
      </c>
      <c r="S63">
        <f t="shared" si="9"/>
        <v>0.318</v>
      </c>
      <c r="T63">
        <f t="shared" si="9"/>
        <v>0.31540000000000001</v>
      </c>
    </row>
    <row r="64" spans="1:20" x14ac:dyDescent="0.15">
      <c r="A64">
        <v>46</v>
      </c>
      <c r="B64">
        <f>MeanOfLogNormalCallOption(B$18,$D$2,$D$3,$D$4,$D$5,$D$6)</f>
        <v>0.95242432057560311</v>
      </c>
      <c r="C64">
        <f>MeanOfLogNormalCallOption(C$18,$D$2,$D$3,$D$4,$D$5,$D$6)</f>
        <v>19.817920939579142</v>
      </c>
      <c r="D64">
        <f>MeanOfLogNormalCallOption(D$18,$D$2,$D$3,$D$4,$D$5,$D$6)</f>
        <v>24.002091702203405</v>
      </c>
      <c r="E64">
        <f>MeanOfLogNormalCallOption(E$18,$D$2,$D$3,$D$4,$D$5,$D$6)</f>
        <v>23.971408959002137</v>
      </c>
      <c r="F64">
        <f>MeanOfLogNormalCallOption(F$18,$D$2,$D$3,$D$4,$D$5,$D$6)</f>
        <v>22.409735975496336</v>
      </c>
      <c r="H64">
        <v>28</v>
      </c>
      <c r="I64">
        <v>0</v>
      </c>
      <c r="J64">
        <v>1</v>
      </c>
      <c r="K64">
        <v>0</v>
      </c>
      <c r="L64">
        <v>0</v>
      </c>
      <c r="M64">
        <v>0</v>
      </c>
      <c r="P64">
        <f t="shared" si="9"/>
        <v>0.2</v>
      </c>
      <c r="Q64">
        <f t="shared" si="9"/>
        <v>0.25</v>
      </c>
      <c r="R64">
        <f t="shared" si="9"/>
        <v>0.32100000000000001</v>
      </c>
      <c r="S64">
        <f t="shared" si="9"/>
        <v>0.31119999999999998</v>
      </c>
      <c r="T64">
        <f t="shared" si="9"/>
        <v>0.31859999999999999</v>
      </c>
    </row>
    <row r="65" spans="1:20" x14ac:dyDescent="0.15">
      <c r="A65">
        <v>47</v>
      </c>
      <c r="B65">
        <f>MeanOfLogNormalCallOption(B$18,$D$2,$D$3,$D$4,$D$5,$D$6)</f>
        <v>20.059120106919</v>
      </c>
      <c r="C65">
        <f>MeanOfLogNormalCallOption(C$18,$D$2,$D$3,$D$4,$D$5,$D$6)</f>
        <v>19.06368356452354</v>
      </c>
      <c r="D65">
        <f>MeanOfLogNormalCallOption(D$18,$D$2,$D$3,$D$4,$D$5,$D$6)</f>
        <v>22.299083786023804</v>
      </c>
      <c r="E65">
        <f>MeanOfLogNormalCallOption(E$18,$D$2,$D$3,$D$4,$D$5,$D$6)</f>
        <v>22.38369990913602</v>
      </c>
      <c r="F65">
        <f>MeanOfLogNormalCallOption(F$18,$D$2,$D$3,$D$4,$D$5,$D$6)</f>
        <v>22.430996918041103</v>
      </c>
      <c r="H65">
        <v>28.5</v>
      </c>
      <c r="I65">
        <v>0</v>
      </c>
      <c r="J65">
        <v>2</v>
      </c>
      <c r="K65">
        <v>0</v>
      </c>
      <c r="L65">
        <v>0</v>
      </c>
      <c r="M65">
        <v>0</v>
      </c>
      <c r="P65">
        <f t="shared" si="9"/>
        <v>0.4</v>
      </c>
      <c r="Q65">
        <f t="shared" si="9"/>
        <v>0.39</v>
      </c>
      <c r="R65">
        <f t="shared" si="9"/>
        <v>0.32200000000000001</v>
      </c>
      <c r="S65">
        <f t="shared" si="9"/>
        <v>0.31259999999999999</v>
      </c>
      <c r="T65">
        <f t="shared" si="9"/>
        <v>0.3231</v>
      </c>
    </row>
    <row r="66" spans="1:20" x14ac:dyDescent="0.15">
      <c r="A66">
        <v>48</v>
      </c>
      <c r="B66">
        <f>MeanOfLogNormalCallOption(B$18,$D$2,$D$3,$D$4,$D$5,$D$6)</f>
        <v>15.716181123483784</v>
      </c>
      <c r="C66">
        <f>MeanOfLogNormalCallOption(C$18,$D$2,$D$3,$D$4,$D$5,$D$6)</f>
        <v>21.23233761882285</v>
      </c>
      <c r="D66">
        <f>MeanOfLogNormalCallOption(D$18,$D$2,$D$3,$D$4,$D$5,$D$6)</f>
        <v>27.404278931461569</v>
      </c>
      <c r="E66">
        <f>MeanOfLogNormalCallOption(E$18,$D$2,$D$3,$D$4,$D$5,$D$6)</f>
        <v>24.990721908833596</v>
      </c>
      <c r="F66">
        <f>MeanOfLogNormalCallOption(F$18,$D$2,$D$3,$D$4,$D$5,$D$6)</f>
        <v>22.267855971097926</v>
      </c>
      <c r="H66">
        <v>29</v>
      </c>
      <c r="I66">
        <v>0</v>
      </c>
      <c r="J66">
        <v>2</v>
      </c>
      <c r="K66">
        <v>0</v>
      </c>
      <c r="L66">
        <v>0</v>
      </c>
      <c r="M66">
        <v>0</v>
      </c>
      <c r="P66">
        <f t="shared" si="9"/>
        <v>0.4</v>
      </c>
      <c r="Q66">
        <f t="shared" si="9"/>
        <v>0.28999999999999998</v>
      </c>
      <c r="R66">
        <f t="shared" si="9"/>
        <v>0.32200000000000001</v>
      </c>
      <c r="S66">
        <f t="shared" si="9"/>
        <v>0.32340000000000002</v>
      </c>
      <c r="T66">
        <f t="shared" si="9"/>
        <v>0.31719999999999998</v>
      </c>
    </row>
    <row r="67" spans="1:20" x14ac:dyDescent="0.15">
      <c r="A67">
        <v>49</v>
      </c>
      <c r="B67">
        <f>MeanOfLogNormalCallOption(B$18,$D$2,$D$3,$D$4,$D$5,$D$6)</f>
        <v>1.3519807505818702</v>
      </c>
      <c r="C67">
        <f>MeanOfLogNormalCallOption(C$18,$D$2,$D$3,$D$4,$D$5,$D$6)</f>
        <v>19.196521881085463</v>
      </c>
      <c r="D67">
        <f>MeanOfLogNormalCallOption(D$18,$D$2,$D$3,$D$4,$D$5,$D$6)</f>
        <v>20.433749258258072</v>
      </c>
      <c r="E67">
        <f>MeanOfLogNormalCallOption(E$18,$D$2,$D$3,$D$4,$D$5,$D$6)</f>
        <v>23.485661679111324</v>
      </c>
      <c r="F67">
        <f>MeanOfLogNormalCallOption(F$18,$D$2,$D$3,$D$4,$D$5,$D$6)</f>
        <v>22.399898285459543</v>
      </c>
      <c r="H67">
        <v>29.5</v>
      </c>
      <c r="I67">
        <v>1</v>
      </c>
      <c r="J67">
        <v>1</v>
      </c>
      <c r="K67">
        <v>0</v>
      </c>
      <c r="L67">
        <v>0</v>
      </c>
      <c r="M67">
        <v>0</v>
      </c>
      <c r="P67">
        <f t="shared" si="9"/>
        <v>0</v>
      </c>
      <c r="Q67">
        <f t="shared" si="9"/>
        <v>0.39</v>
      </c>
      <c r="R67">
        <f t="shared" si="9"/>
        <v>0.30199999999999999</v>
      </c>
      <c r="S67">
        <f t="shared" si="9"/>
        <v>0.32219999999999999</v>
      </c>
      <c r="T67">
        <f t="shared" si="9"/>
        <v>0.32090000000000002</v>
      </c>
    </row>
    <row r="68" spans="1:20" x14ac:dyDescent="0.15">
      <c r="A68">
        <v>50</v>
      </c>
      <c r="B68">
        <f>MeanOfLogNormalCallOption(B$18,$D$2,$D$3,$D$4,$D$5,$D$6)</f>
        <v>23.856626223769712</v>
      </c>
      <c r="C68">
        <f>MeanOfLogNormalCallOption(C$18,$D$2,$D$3,$D$4,$D$5,$D$6)</f>
        <v>21.730391233039054</v>
      </c>
      <c r="D68">
        <f>MeanOfLogNormalCallOption(D$18,$D$2,$D$3,$D$4,$D$5,$D$6)</f>
        <v>24.607562419523671</v>
      </c>
      <c r="E68">
        <f>MeanOfLogNormalCallOption(E$18,$D$2,$D$3,$D$4,$D$5,$D$6)</f>
        <v>23.328937142177157</v>
      </c>
      <c r="F68">
        <f>MeanOfLogNormalCallOption(F$18,$D$2,$D$3,$D$4,$D$5,$D$6)</f>
        <v>24.100068493260984</v>
      </c>
      <c r="H68">
        <v>30</v>
      </c>
      <c r="I68">
        <v>1</v>
      </c>
      <c r="J68">
        <v>0</v>
      </c>
      <c r="K68">
        <v>0</v>
      </c>
      <c r="L68">
        <v>0</v>
      </c>
      <c r="M68">
        <v>0</v>
      </c>
      <c r="P68">
        <f t="shared" ref="P68:T83" si="10">MeanOfLogNormalDigitalOption(P$18,$D$2,$D$3,$D$4,$D$5,$D$6)</f>
        <v>0.2</v>
      </c>
      <c r="Q68">
        <f t="shared" si="10"/>
        <v>0.37</v>
      </c>
      <c r="R68">
        <f t="shared" si="10"/>
        <v>0.32500000000000001</v>
      </c>
      <c r="S68">
        <f t="shared" si="10"/>
        <v>0.31319999999999998</v>
      </c>
      <c r="T68">
        <f t="shared" si="10"/>
        <v>0.31719999999999998</v>
      </c>
    </row>
    <row r="69" spans="1:20" x14ac:dyDescent="0.15">
      <c r="A69">
        <v>51</v>
      </c>
      <c r="B69">
        <f>MeanOfLogNormalCallOption(B$18,$D$2,$D$3,$D$4,$D$5,$D$6)</f>
        <v>19.45547630294535</v>
      </c>
      <c r="C69">
        <f>MeanOfLogNormalCallOption(C$18,$D$2,$D$3,$D$4,$D$5,$D$6)</f>
        <v>34.930252999326257</v>
      </c>
      <c r="D69">
        <f>MeanOfLogNormalCallOption(D$18,$D$2,$D$3,$D$4,$D$5,$D$6)</f>
        <v>26.789539743199899</v>
      </c>
      <c r="E69">
        <f>MeanOfLogNormalCallOption(E$18,$D$2,$D$3,$D$4,$D$5,$D$6)</f>
        <v>21.244078466559351</v>
      </c>
      <c r="F69">
        <f>MeanOfLogNormalCallOption(F$18,$D$2,$D$3,$D$4,$D$5,$D$6)</f>
        <v>22.926974196381504</v>
      </c>
      <c r="H69">
        <v>30.5</v>
      </c>
      <c r="I69">
        <v>2</v>
      </c>
      <c r="J69">
        <v>0</v>
      </c>
      <c r="K69">
        <v>0</v>
      </c>
      <c r="L69">
        <v>0</v>
      </c>
      <c r="M69">
        <v>0</v>
      </c>
      <c r="P69">
        <f t="shared" si="10"/>
        <v>0.3</v>
      </c>
      <c r="Q69">
        <f t="shared" si="10"/>
        <v>0.31</v>
      </c>
      <c r="R69">
        <f t="shared" si="10"/>
        <v>0.29799999999999999</v>
      </c>
      <c r="S69">
        <f t="shared" si="10"/>
        <v>0.31440000000000001</v>
      </c>
      <c r="T69">
        <f t="shared" si="10"/>
        <v>0.31309999999999999</v>
      </c>
    </row>
    <row r="70" spans="1:20" x14ac:dyDescent="0.15">
      <c r="A70">
        <v>52</v>
      </c>
      <c r="B70">
        <f>MeanOfLogNormalCallOption(B$18,$D$2,$D$3,$D$4,$D$5,$D$6)</f>
        <v>24.728218172545887</v>
      </c>
      <c r="C70">
        <f>MeanOfLogNormalCallOption(C$18,$D$2,$D$3,$D$4,$D$5,$D$6)</f>
        <v>14.757160976323016</v>
      </c>
      <c r="D70">
        <f>MeanOfLogNormalCallOption(D$18,$D$2,$D$3,$D$4,$D$5,$D$6)</f>
        <v>23.938909728346985</v>
      </c>
      <c r="E70">
        <f>MeanOfLogNormalCallOption(E$18,$D$2,$D$3,$D$4,$D$5,$D$6)</f>
        <v>24.29801461131385</v>
      </c>
      <c r="F70">
        <f>MeanOfLogNormalCallOption(F$18,$D$2,$D$3,$D$4,$D$5,$D$6)</f>
        <v>23.180426597178805</v>
      </c>
      <c r="H70">
        <v>31</v>
      </c>
      <c r="I70">
        <v>1</v>
      </c>
      <c r="J70">
        <v>0</v>
      </c>
      <c r="K70">
        <v>0</v>
      </c>
      <c r="L70">
        <v>0</v>
      </c>
      <c r="M70">
        <v>0</v>
      </c>
      <c r="P70">
        <f t="shared" si="10"/>
        <v>0.3</v>
      </c>
      <c r="Q70">
        <f t="shared" si="10"/>
        <v>0.34</v>
      </c>
      <c r="R70">
        <f t="shared" si="10"/>
        <v>0.27300000000000002</v>
      </c>
      <c r="S70">
        <f t="shared" si="10"/>
        <v>0.32340000000000002</v>
      </c>
      <c r="T70">
        <f t="shared" si="10"/>
        <v>0.32079999999999997</v>
      </c>
    </row>
    <row r="71" spans="1:20" x14ac:dyDescent="0.15">
      <c r="A71">
        <v>53</v>
      </c>
      <c r="B71">
        <f>MeanOfLogNormalCallOption(B$18,$D$2,$D$3,$D$4,$D$5,$D$6)</f>
        <v>21.256482574118792</v>
      </c>
      <c r="C71">
        <f>MeanOfLogNormalCallOption(C$18,$D$2,$D$3,$D$4,$D$5,$D$6)</f>
        <v>18.044967980981003</v>
      </c>
      <c r="D71">
        <f>MeanOfLogNormalCallOption(D$18,$D$2,$D$3,$D$4,$D$5,$D$6)</f>
        <v>21.956919379668072</v>
      </c>
      <c r="E71">
        <f>MeanOfLogNormalCallOption(E$18,$D$2,$D$3,$D$4,$D$5,$D$6)</f>
        <v>22.739608885528916</v>
      </c>
      <c r="F71">
        <f>MeanOfLogNormalCallOption(F$18,$D$2,$D$3,$D$4,$D$5,$D$6)</f>
        <v>22.167444176944482</v>
      </c>
      <c r="H71">
        <v>31.5</v>
      </c>
      <c r="I71">
        <v>0</v>
      </c>
      <c r="J71">
        <v>0</v>
      </c>
      <c r="K71">
        <v>0</v>
      </c>
      <c r="L71">
        <v>0</v>
      </c>
      <c r="M71">
        <v>0</v>
      </c>
      <c r="P71">
        <f t="shared" si="10"/>
        <v>0.2</v>
      </c>
      <c r="Q71">
        <f t="shared" si="10"/>
        <v>0.45</v>
      </c>
      <c r="R71">
        <f t="shared" si="10"/>
        <v>0.33200000000000002</v>
      </c>
      <c r="S71">
        <f t="shared" si="10"/>
        <v>0.312</v>
      </c>
      <c r="T71">
        <f t="shared" si="10"/>
        <v>0.3236</v>
      </c>
    </row>
    <row r="72" spans="1:20" x14ac:dyDescent="0.15">
      <c r="A72">
        <v>54</v>
      </c>
      <c r="B72">
        <f>MeanOfLogNormalCallOption(B$18,$D$2,$D$3,$D$4,$D$5,$D$6)</f>
        <v>60.411659231926464</v>
      </c>
      <c r="C72">
        <f>MeanOfLogNormalCallOption(C$18,$D$2,$D$3,$D$4,$D$5,$D$6)</f>
        <v>24.236924639965004</v>
      </c>
      <c r="D72">
        <f>MeanOfLogNormalCallOption(D$18,$D$2,$D$3,$D$4,$D$5,$D$6)</f>
        <v>26.452863775713716</v>
      </c>
      <c r="E72">
        <f>MeanOfLogNormalCallOption(E$18,$D$2,$D$3,$D$4,$D$5,$D$6)</f>
        <v>21.92177924641129</v>
      </c>
      <c r="F72">
        <f>MeanOfLogNormalCallOption(F$18,$D$2,$D$3,$D$4,$D$5,$D$6)</f>
        <v>22.888452790527253</v>
      </c>
      <c r="H72">
        <v>32</v>
      </c>
      <c r="I72">
        <v>1</v>
      </c>
      <c r="J72">
        <v>1</v>
      </c>
      <c r="K72">
        <v>0</v>
      </c>
      <c r="L72">
        <v>0</v>
      </c>
      <c r="M72">
        <v>0</v>
      </c>
      <c r="P72">
        <f t="shared" si="10"/>
        <v>0.3</v>
      </c>
      <c r="Q72">
        <f t="shared" si="10"/>
        <v>0.33</v>
      </c>
      <c r="R72">
        <f t="shared" si="10"/>
        <v>0.309</v>
      </c>
      <c r="S72">
        <f t="shared" si="10"/>
        <v>0.31259999999999999</v>
      </c>
      <c r="T72">
        <f t="shared" si="10"/>
        <v>0.31569999999999998</v>
      </c>
    </row>
    <row r="73" spans="1:20" x14ac:dyDescent="0.15">
      <c r="A73">
        <v>55</v>
      </c>
      <c r="B73">
        <f>MeanOfLogNormalCallOption(B$18,$D$2,$D$3,$D$4,$D$5,$D$6)</f>
        <v>15.781822718669554</v>
      </c>
      <c r="C73">
        <f>MeanOfLogNormalCallOption(C$18,$D$2,$D$3,$D$4,$D$5,$D$6)</f>
        <v>25.686340231491172</v>
      </c>
      <c r="D73">
        <f>MeanOfLogNormalCallOption(D$18,$D$2,$D$3,$D$4,$D$5,$D$6)</f>
        <v>25.184968847226564</v>
      </c>
      <c r="E73">
        <f>MeanOfLogNormalCallOption(E$18,$D$2,$D$3,$D$4,$D$5,$D$6)</f>
        <v>22.667797018658831</v>
      </c>
      <c r="F73">
        <f>MeanOfLogNormalCallOption(F$18,$D$2,$D$3,$D$4,$D$5,$D$6)</f>
        <v>22.59673432693393</v>
      </c>
      <c r="H73">
        <v>32.5</v>
      </c>
      <c r="I73">
        <v>0</v>
      </c>
      <c r="J73">
        <v>1</v>
      </c>
      <c r="K73">
        <v>0</v>
      </c>
      <c r="L73">
        <v>0</v>
      </c>
      <c r="M73">
        <v>0</v>
      </c>
      <c r="P73">
        <f t="shared" si="10"/>
        <v>0.1</v>
      </c>
      <c r="Q73">
        <f t="shared" si="10"/>
        <v>0.28999999999999998</v>
      </c>
      <c r="R73">
        <f t="shared" si="10"/>
        <v>0.34100000000000003</v>
      </c>
      <c r="S73">
        <f t="shared" si="10"/>
        <v>0.32079999999999997</v>
      </c>
      <c r="T73">
        <f t="shared" si="10"/>
        <v>0.3221</v>
      </c>
    </row>
    <row r="74" spans="1:20" x14ac:dyDescent="0.15">
      <c r="A74">
        <v>56</v>
      </c>
      <c r="B74">
        <f>MeanOfLogNormalCallOption(B$18,$D$2,$D$3,$D$4,$D$5,$D$6)</f>
        <v>21.164652727798806</v>
      </c>
      <c r="C74">
        <f>MeanOfLogNormalCallOption(C$18,$D$2,$D$3,$D$4,$D$5,$D$6)</f>
        <v>28.657720455966839</v>
      </c>
      <c r="D74">
        <f>MeanOfLogNormalCallOption(D$18,$D$2,$D$3,$D$4,$D$5,$D$6)</f>
        <v>24.017377899671267</v>
      </c>
      <c r="E74">
        <f>MeanOfLogNormalCallOption(E$18,$D$2,$D$3,$D$4,$D$5,$D$6)</f>
        <v>22.072139807118518</v>
      </c>
      <c r="F74">
        <f>MeanOfLogNormalCallOption(F$18,$D$2,$D$3,$D$4,$D$5,$D$6)</f>
        <v>22.616563753838101</v>
      </c>
      <c r="H74">
        <v>33</v>
      </c>
      <c r="I74">
        <v>0</v>
      </c>
      <c r="J74">
        <v>0</v>
      </c>
      <c r="K74">
        <v>0</v>
      </c>
      <c r="L74">
        <v>0</v>
      </c>
      <c r="M74">
        <v>0</v>
      </c>
      <c r="P74">
        <f t="shared" si="10"/>
        <v>0.3</v>
      </c>
      <c r="Q74">
        <f t="shared" si="10"/>
        <v>0.25</v>
      </c>
      <c r="R74">
        <f t="shared" si="10"/>
        <v>0.34</v>
      </c>
      <c r="S74">
        <f t="shared" si="10"/>
        <v>0.31940000000000002</v>
      </c>
      <c r="T74">
        <f t="shared" si="10"/>
        <v>0.314</v>
      </c>
    </row>
    <row r="75" spans="1:20" x14ac:dyDescent="0.15">
      <c r="A75">
        <v>57</v>
      </c>
      <c r="B75">
        <f>MeanOfLogNormalCallOption(B$18,$D$2,$D$3,$D$4,$D$5,$D$6)</f>
        <v>50.858400053333355</v>
      </c>
      <c r="C75">
        <f>MeanOfLogNormalCallOption(C$18,$D$2,$D$3,$D$4,$D$5,$D$6)</f>
        <v>20.128694844472058</v>
      </c>
      <c r="D75">
        <f>MeanOfLogNormalCallOption(D$18,$D$2,$D$3,$D$4,$D$5,$D$6)</f>
        <v>25.955626844599415</v>
      </c>
      <c r="E75">
        <f>MeanOfLogNormalCallOption(E$18,$D$2,$D$3,$D$4,$D$5,$D$6)</f>
        <v>20.887673439015508</v>
      </c>
      <c r="F75">
        <f>MeanOfLogNormalCallOption(F$18,$D$2,$D$3,$D$4,$D$5,$D$6)</f>
        <v>22.163891009179451</v>
      </c>
      <c r="H75">
        <v>33.5</v>
      </c>
      <c r="I75">
        <v>1</v>
      </c>
      <c r="J75">
        <v>1</v>
      </c>
      <c r="K75">
        <v>0</v>
      </c>
      <c r="L75">
        <v>0</v>
      </c>
      <c r="M75">
        <v>0</v>
      </c>
      <c r="P75">
        <f t="shared" si="10"/>
        <v>0.2</v>
      </c>
      <c r="Q75">
        <f t="shared" si="10"/>
        <v>0.33</v>
      </c>
      <c r="R75">
        <f t="shared" si="10"/>
        <v>0.31</v>
      </c>
      <c r="S75">
        <f t="shared" si="10"/>
        <v>0.31359999999999999</v>
      </c>
      <c r="T75">
        <f t="shared" si="10"/>
        <v>0.31419999999999998</v>
      </c>
    </row>
    <row r="76" spans="1:20" x14ac:dyDescent="0.15">
      <c r="A76">
        <v>58</v>
      </c>
      <c r="B76">
        <f>MeanOfLogNormalCallOption(B$18,$D$2,$D$3,$D$4,$D$5,$D$6)</f>
        <v>5.0551378922242192</v>
      </c>
      <c r="C76">
        <f>MeanOfLogNormalCallOption(C$18,$D$2,$D$3,$D$4,$D$5,$D$6)</f>
        <v>18.895031743772122</v>
      </c>
      <c r="D76">
        <f>MeanOfLogNormalCallOption(D$18,$D$2,$D$3,$D$4,$D$5,$D$6)</f>
        <v>22.705834010723372</v>
      </c>
      <c r="E76">
        <f>MeanOfLogNormalCallOption(E$18,$D$2,$D$3,$D$4,$D$5,$D$6)</f>
        <v>23.174492519674722</v>
      </c>
      <c r="F76">
        <f>MeanOfLogNormalCallOption(F$18,$D$2,$D$3,$D$4,$D$5,$D$6)</f>
        <v>21.741711389295748</v>
      </c>
      <c r="H76">
        <v>34</v>
      </c>
      <c r="I76">
        <v>1</v>
      </c>
      <c r="J76">
        <v>1</v>
      </c>
      <c r="K76">
        <v>0</v>
      </c>
      <c r="L76">
        <v>0</v>
      </c>
      <c r="M76">
        <v>0</v>
      </c>
      <c r="P76">
        <f t="shared" si="10"/>
        <v>0.3</v>
      </c>
      <c r="Q76">
        <f t="shared" si="10"/>
        <v>0.27</v>
      </c>
      <c r="R76">
        <f t="shared" si="10"/>
        <v>0.34100000000000003</v>
      </c>
      <c r="S76">
        <f t="shared" si="10"/>
        <v>0.31919999999999998</v>
      </c>
      <c r="T76">
        <f t="shared" si="10"/>
        <v>0.31459999999999999</v>
      </c>
    </row>
    <row r="77" spans="1:20" x14ac:dyDescent="0.15">
      <c r="A77">
        <v>59</v>
      </c>
      <c r="B77">
        <f>MeanOfLogNormalCallOption(B$18,$D$2,$D$3,$D$4,$D$5,$D$6)</f>
        <v>0.84205490390509929</v>
      </c>
      <c r="C77">
        <f>MeanOfLogNormalCallOption(C$18,$D$2,$D$3,$D$4,$D$5,$D$6)</f>
        <v>21.632485440811685</v>
      </c>
      <c r="D77">
        <f>MeanOfLogNormalCallOption(D$18,$D$2,$D$3,$D$4,$D$5,$D$6)</f>
        <v>22.38051233925485</v>
      </c>
      <c r="E77">
        <f>MeanOfLogNormalCallOption(E$18,$D$2,$D$3,$D$4,$D$5,$D$6)</f>
        <v>22.869533509237012</v>
      </c>
      <c r="F77">
        <f>MeanOfLogNormalCallOption(F$18,$D$2,$D$3,$D$4,$D$5,$D$6)</f>
        <v>22.187674695418206</v>
      </c>
      <c r="H77">
        <v>34.5</v>
      </c>
      <c r="I77">
        <v>0</v>
      </c>
      <c r="J77">
        <v>1</v>
      </c>
      <c r="K77">
        <v>0</v>
      </c>
      <c r="L77">
        <v>0</v>
      </c>
      <c r="M77">
        <v>0</v>
      </c>
      <c r="P77">
        <f t="shared" si="10"/>
        <v>0.2</v>
      </c>
      <c r="Q77">
        <f t="shared" si="10"/>
        <v>0.28000000000000003</v>
      </c>
      <c r="R77">
        <f t="shared" si="10"/>
        <v>0.32600000000000001</v>
      </c>
      <c r="S77">
        <f t="shared" si="10"/>
        <v>0.313</v>
      </c>
      <c r="T77">
        <f t="shared" si="10"/>
        <v>0.318</v>
      </c>
    </row>
    <row r="78" spans="1:20" x14ac:dyDescent="0.15">
      <c r="A78">
        <v>60</v>
      </c>
      <c r="B78">
        <f>MeanOfLogNormalCallOption(B$18,$D$2,$D$3,$D$4,$D$5,$D$6)</f>
        <v>35.69523148135228</v>
      </c>
      <c r="C78">
        <f>MeanOfLogNormalCallOption(C$18,$D$2,$D$3,$D$4,$D$5,$D$6)</f>
        <v>26.822555854803014</v>
      </c>
      <c r="D78">
        <f>MeanOfLogNormalCallOption(D$18,$D$2,$D$3,$D$4,$D$5,$D$6)</f>
        <v>24.062526750476575</v>
      </c>
      <c r="E78">
        <f>MeanOfLogNormalCallOption(E$18,$D$2,$D$3,$D$4,$D$5,$D$6)</f>
        <v>23.086456096299177</v>
      </c>
      <c r="F78">
        <f>MeanOfLogNormalCallOption(F$18,$D$2,$D$3,$D$4,$D$5,$D$6)</f>
        <v>22.127169408311268</v>
      </c>
      <c r="H78">
        <v>35</v>
      </c>
      <c r="I78">
        <v>1</v>
      </c>
      <c r="J78">
        <v>1</v>
      </c>
      <c r="K78">
        <v>0</v>
      </c>
      <c r="L78">
        <v>0</v>
      </c>
      <c r="M78">
        <v>0</v>
      </c>
      <c r="P78">
        <f t="shared" si="10"/>
        <v>0.2</v>
      </c>
      <c r="Q78">
        <f t="shared" si="10"/>
        <v>0.42</v>
      </c>
      <c r="R78">
        <f t="shared" si="10"/>
        <v>0.27300000000000002</v>
      </c>
      <c r="S78">
        <f t="shared" si="10"/>
        <v>0.32440000000000002</v>
      </c>
      <c r="T78">
        <f t="shared" si="10"/>
        <v>0.32419999999999999</v>
      </c>
    </row>
    <row r="79" spans="1:20" x14ac:dyDescent="0.15">
      <c r="A79">
        <v>61</v>
      </c>
      <c r="B79">
        <f>MeanOfLogNormalCallOption(B$18,$D$2,$D$3,$D$4,$D$5,$D$6)</f>
        <v>14.696995610195549</v>
      </c>
      <c r="C79">
        <f>MeanOfLogNormalCallOption(C$18,$D$2,$D$3,$D$4,$D$5,$D$6)</f>
        <v>19.320672114343324</v>
      </c>
      <c r="D79">
        <f>MeanOfLogNormalCallOption(D$18,$D$2,$D$3,$D$4,$D$5,$D$6)</f>
        <v>20.731950150513914</v>
      </c>
      <c r="E79">
        <f>MeanOfLogNormalCallOption(E$18,$D$2,$D$3,$D$4,$D$5,$D$6)</f>
        <v>24.013842566155937</v>
      </c>
      <c r="F79">
        <f>MeanOfLogNormalCallOption(F$18,$D$2,$D$3,$D$4,$D$5,$D$6)</f>
        <v>23.037416032309277</v>
      </c>
      <c r="H79">
        <v>35.5</v>
      </c>
      <c r="I79">
        <v>1</v>
      </c>
      <c r="J79">
        <v>1</v>
      </c>
      <c r="K79">
        <v>0</v>
      </c>
      <c r="L79">
        <v>0</v>
      </c>
      <c r="M79">
        <v>0</v>
      </c>
      <c r="P79">
        <f t="shared" si="10"/>
        <v>0.4</v>
      </c>
      <c r="Q79">
        <f t="shared" si="10"/>
        <v>0.37</v>
      </c>
      <c r="R79">
        <f t="shared" si="10"/>
        <v>0.312</v>
      </c>
      <c r="S79">
        <f t="shared" si="10"/>
        <v>0.30599999999999999</v>
      </c>
      <c r="T79">
        <f t="shared" si="10"/>
        <v>0.315</v>
      </c>
    </row>
    <row r="80" spans="1:20" x14ac:dyDescent="0.15">
      <c r="A80">
        <v>62</v>
      </c>
      <c r="B80">
        <f>MeanOfLogNormalCallOption(B$18,$D$2,$D$3,$D$4,$D$5,$D$6)</f>
        <v>3.7175351097168075</v>
      </c>
      <c r="C80">
        <f>MeanOfLogNormalCallOption(C$18,$D$2,$D$3,$D$4,$D$5,$D$6)</f>
        <v>21.643727999577489</v>
      </c>
      <c r="D80">
        <f>MeanOfLogNormalCallOption(D$18,$D$2,$D$3,$D$4,$D$5,$D$6)</f>
        <v>21.898778547027124</v>
      </c>
      <c r="E80">
        <f>MeanOfLogNormalCallOption(E$18,$D$2,$D$3,$D$4,$D$5,$D$6)</f>
        <v>21.632825890185778</v>
      </c>
      <c r="F80">
        <f>MeanOfLogNormalCallOption(F$18,$D$2,$D$3,$D$4,$D$5,$D$6)</f>
        <v>23.316459048787806</v>
      </c>
      <c r="H80">
        <v>36</v>
      </c>
      <c r="I80">
        <v>1</v>
      </c>
      <c r="J80">
        <v>0</v>
      </c>
      <c r="K80">
        <v>0</v>
      </c>
      <c r="L80">
        <v>0</v>
      </c>
      <c r="M80">
        <v>0</v>
      </c>
      <c r="P80">
        <f t="shared" si="10"/>
        <v>0.2</v>
      </c>
      <c r="Q80">
        <f t="shared" si="10"/>
        <v>0.28999999999999998</v>
      </c>
      <c r="R80">
        <f t="shared" si="10"/>
        <v>0.33100000000000002</v>
      </c>
      <c r="S80">
        <f t="shared" si="10"/>
        <v>0.32379999999999998</v>
      </c>
      <c r="T80">
        <f t="shared" si="10"/>
        <v>0.32440000000000002</v>
      </c>
    </row>
    <row r="81" spans="1:20" x14ac:dyDescent="0.15">
      <c r="A81">
        <v>63</v>
      </c>
      <c r="B81">
        <f>MeanOfLogNormalCallOption(B$18,$D$2,$D$3,$D$4,$D$5,$D$6)</f>
        <v>25.881808134897945</v>
      </c>
      <c r="C81">
        <f>MeanOfLogNormalCallOption(C$18,$D$2,$D$3,$D$4,$D$5,$D$6)</f>
        <v>25.990315599352908</v>
      </c>
      <c r="D81">
        <f>MeanOfLogNormalCallOption(D$18,$D$2,$D$3,$D$4,$D$5,$D$6)</f>
        <v>22.771245750542459</v>
      </c>
      <c r="E81">
        <f>MeanOfLogNormalCallOption(E$18,$D$2,$D$3,$D$4,$D$5,$D$6)</f>
        <v>22.804842828011047</v>
      </c>
      <c r="F81">
        <f>MeanOfLogNormalCallOption(F$18,$D$2,$D$3,$D$4,$D$5,$D$6)</f>
        <v>23.085442073239797</v>
      </c>
      <c r="H81">
        <v>36.5</v>
      </c>
      <c r="I81">
        <v>1</v>
      </c>
      <c r="J81">
        <v>0</v>
      </c>
      <c r="K81">
        <v>0</v>
      </c>
      <c r="L81">
        <v>0</v>
      </c>
      <c r="M81">
        <v>0</v>
      </c>
      <c r="P81">
        <f t="shared" si="10"/>
        <v>0.3</v>
      </c>
      <c r="Q81">
        <f t="shared" si="10"/>
        <v>0.41</v>
      </c>
      <c r="R81">
        <f t="shared" si="10"/>
        <v>0.32100000000000001</v>
      </c>
      <c r="S81">
        <f t="shared" si="10"/>
        <v>0.31340000000000001</v>
      </c>
      <c r="T81">
        <f t="shared" si="10"/>
        <v>0.31680000000000003</v>
      </c>
    </row>
    <row r="82" spans="1:20" x14ac:dyDescent="0.15">
      <c r="A82">
        <v>64</v>
      </c>
      <c r="B82">
        <f>MeanOfLogNormalCallOption(B$18,$D$2,$D$3,$D$4,$D$5,$D$6)</f>
        <v>31.520412123907668</v>
      </c>
      <c r="C82">
        <f>MeanOfLogNormalCallOption(C$18,$D$2,$D$3,$D$4,$D$5,$D$6)</f>
        <v>19.914799197218514</v>
      </c>
      <c r="D82">
        <f>MeanOfLogNormalCallOption(D$18,$D$2,$D$3,$D$4,$D$5,$D$6)</f>
        <v>20.042936496353597</v>
      </c>
      <c r="E82">
        <f>MeanOfLogNormalCallOption(E$18,$D$2,$D$3,$D$4,$D$5,$D$6)</f>
        <v>23.118388190130943</v>
      </c>
      <c r="F82">
        <f>MeanOfLogNormalCallOption(F$18,$D$2,$D$3,$D$4,$D$5,$D$6)</f>
        <v>21.740283259458135</v>
      </c>
      <c r="H82">
        <v>37</v>
      </c>
      <c r="I82">
        <v>0</v>
      </c>
      <c r="J82">
        <v>0</v>
      </c>
      <c r="K82">
        <v>0</v>
      </c>
      <c r="L82">
        <v>0</v>
      </c>
      <c r="M82">
        <v>0</v>
      </c>
      <c r="P82">
        <f t="shared" si="10"/>
        <v>0.2</v>
      </c>
      <c r="Q82">
        <f t="shared" si="10"/>
        <v>0.3</v>
      </c>
      <c r="R82">
        <f t="shared" si="10"/>
        <v>0.33800000000000002</v>
      </c>
      <c r="S82">
        <f t="shared" si="10"/>
        <v>0.30919999999999997</v>
      </c>
      <c r="T82">
        <f t="shared" si="10"/>
        <v>0.31790000000000002</v>
      </c>
    </row>
    <row r="83" spans="1:20" x14ac:dyDescent="0.15">
      <c r="A83">
        <v>65</v>
      </c>
      <c r="B83">
        <f>MeanOfLogNormalCallOption(B$18,$D$2,$D$3,$D$4,$D$5,$D$6)</f>
        <v>76.963179474861008</v>
      </c>
      <c r="C83">
        <f>MeanOfLogNormalCallOption(C$18,$D$2,$D$3,$D$4,$D$5,$D$6)</f>
        <v>18.18920500667614</v>
      </c>
      <c r="D83">
        <f>MeanOfLogNormalCallOption(D$18,$D$2,$D$3,$D$4,$D$5,$D$6)</f>
        <v>21.197949785464434</v>
      </c>
      <c r="E83">
        <f>MeanOfLogNormalCallOption(E$18,$D$2,$D$3,$D$4,$D$5,$D$6)</f>
        <v>23.598744778390223</v>
      </c>
      <c r="F83">
        <f>MeanOfLogNormalCallOption(F$18,$D$2,$D$3,$D$4,$D$5,$D$6)</f>
        <v>23.820897362757609</v>
      </c>
      <c r="H83">
        <v>37.5</v>
      </c>
      <c r="I83">
        <v>0</v>
      </c>
      <c r="J83">
        <v>1</v>
      </c>
      <c r="K83">
        <v>0</v>
      </c>
      <c r="L83">
        <v>0</v>
      </c>
      <c r="M83">
        <v>0</v>
      </c>
      <c r="P83">
        <f t="shared" si="10"/>
        <v>0.3</v>
      </c>
      <c r="Q83">
        <f t="shared" si="10"/>
        <v>0.24</v>
      </c>
      <c r="R83">
        <f t="shared" si="10"/>
        <v>0.32600000000000001</v>
      </c>
      <c r="S83">
        <f t="shared" si="10"/>
        <v>0.31059999999999999</v>
      </c>
      <c r="T83">
        <f t="shared" si="10"/>
        <v>0.30869999999999997</v>
      </c>
    </row>
    <row r="84" spans="1:20" x14ac:dyDescent="0.15">
      <c r="A84">
        <v>66</v>
      </c>
      <c r="B84">
        <f>MeanOfLogNormalCallOption(B$18,$D$2,$D$3,$D$4,$D$5,$D$6)</f>
        <v>20.158899852963195</v>
      </c>
      <c r="C84">
        <f>MeanOfLogNormalCallOption(C$18,$D$2,$D$3,$D$4,$D$5,$D$6)</f>
        <v>24.204833086009103</v>
      </c>
      <c r="D84">
        <f>MeanOfLogNormalCallOption(D$18,$D$2,$D$3,$D$4,$D$5,$D$6)</f>
        <v>22.102435502774064</v>
      </c>
      <c r="E84">
        <f>MeanOfLogNormalCallOption(E$18,$D$2,$D$3,$D$4,$D$5,$D$6)</f>
        <v>23.267976372484977</v>
      </c>
      <c r="F84">
        <f>MeanOfLogNormalCallOption(F$18,$D$2,$D$3,$D$4,$D$5,$D$6)</f>
        <v>22.248886640066864</v>
      </c>
      <c r="H84">
        <v>38</v>
      </c>
      <c r="I84">
        <v>1</v>
      </c>
      <c r="J84">
        <v>1</v>
      </c>
      <c r="K84">
        <v>0</v>
      </c>
      <c r="L84">
        <v>0</v>
      </c>
      <c r="M84">
        <v>0</v>
      </c>
      <c r="P84">
        <f t="shared" ref="P84:T99" si="11">MeanOfLogNormalDigitalOption(P$18,$D$2,$D$3,$D$4,$D$5,$D$6)</f>
        <v>0.2</v>
      </c>
      <c r="Q84">
        <f t="shared" si="11"/>
        <v>0.34</v>
      </c>
      <c r="R84">
        <f t="shared" si="11"/>
        <v>0.28699999999999998</v>
      </c>
      <c r="S84">
        <f t="shared" si="11"/>
        <v>0.31080000000000002</v>
      </c>
      <c r="T84">
        <f t="shared" si="11"/>
        <v>0.31040000000000001</v>
      </c>
    </row>
    <row r="85" spans="1:20" x14ac:dyDescent="0.15">
      <c r="A85">
        <v>67</v>
      </c>
      <c r="B85">
        <f>MeanOfLogNormalCallOption(B$18,$D$2,$D$3,$D$4,$D$5,$D$6)</f>
        <v>5.2325542646505188</v>
      </c>
      <c r="C85">
        <f>MeanOfLogNormalCallOption(C$18,$D$2,$D$3,$D$4,$D$5,$D$6)</f>
        <v>9.6518729186641785</v>
      </c>
      <c r="D85">
        <f>MeanOfLogNormalCallOption(D$18,$D$2,$D$3,$D$4,$D$5,$D$6)</f>
        <v>21.640677038197424</v>
      </c>
      <c r="E85">
        <f>MeanOfLogNormalCallOption(E$18,$D$2,$D$3,$D$4,$D$5,$D$6)</f>
        <v>22.444336149111162</v>
      </c>
      <c r="F85">
        <f>MeanOfLogNormalCallOption(F$18,$D$2,$D$3,$D$4,$D$5,$D$6)</f>
        <v>22.5261629001952</v>
      </c>
      <c r="H85">
        <v>38.5</v>
      </c>
      <c r="I85">
        <v>0</v>
      </c>
      <c r="J85">
        <v>0</v>
      </c>
      <c r="K85">
        <v>0</v>
      </c>
      <c r="L85">
        <v>0</v>
      </c>
      <c r="M85">
        <v>0</v>
      </c>
      <c r="P85">
        <f t="shared" si="11"/>
        <v>0.6</v>
      </c>
      <c r="Q85">
        <f t="shared" si="11"/>
        <v>0.28999999999999998</v>
      </c>
      <c r="R85">
        <f t="shared" si="11"/>
        <v>0.317</v>
      </c>
      <c r="S85">
        <f t="shared" si="11"/>
        <v>0.32300000000000001</v>
      </c>
      <c r="T85">
        <f t="shared" si="11"/>
        <v>0.3145</v>
      </c>
    </row>
    <row r="86" spans="1:20" x14ac:dyDescent="0.15">
      <c r="A86">
        <v>68</v>
      </c>
      <c r="B86">
        <f>MeanOfLogNormalCallOption(B$18,$D$2,$D$3,$D$4,$D$5,$D$6)</f>
        <v>1.6121014322437186</v>
      </c>
      <c r="C86">
        <f>MeanOfLogNormalCallOption(C$18,$D$2,$D$3,$D$4,$D$5,$D$6)</f>
        <v>25.995233247937236</v>
      </c>
      <c r="D86">
        <f>MeanOfLogNormalCallOption(D$18,$D$2,$D$3,$D$4,$D$5,$D$6)</f>
        <v>25.365054403176128</v>
      </c>
      <c r="E86">
        <f>MeanOfLogNormalCallOption(E$18,$D$2,$D$3,$D$4,$D$5,$D$6)</f>
        <v>24.249827239140593</v>
      </c>
      <c r="F86">
        <f>MeanOfLogNormalCallOption(F$18,$D$2,$D$3,$D$4,$D$5,$D$6)</f>
        <v>22.849006231387477</v>
      </c>
      <c r="H86">
        <v>39</v>
      </c>
      <c r="I86">
        <v>0</v>
      </c>
      <c r="J86">
        <v>1</v>
      </c>
      <c r="K86">
        <v>0</v>
      </c>
      <c r="L86">
        <v>0</v>
      </c>
      <c r="M86">
        <v>0</v>
      </c>
      <c r="P86">
        <f t="shared" si="11"/>
        <v>0.2</v>
      </c>
      <c r="Q86">
        <f t="shared" si="11"/>
        <v>0.35</v>
      </c>
      <c r="R86">
        <f t="shared" si="11"/>
        <v>0.34100000000000003</v>
      </c>
      <c r="S86">
        <f t="shared" si="11"/>
        <v>0.30940000000000001</v>
      </c>
      <c r="T86">
        <f t="shared" si="11"/>
        <v>0.31459999999999999</v>
      </c>
    </row>
    <row r="87" spans="1:20" x14ac:dyDescent="0.15">
      <c r="A87">
        <v>69</v>
      </c>
      <c r="B87">
        <f>MeanOfLogNormalCallOption(B$18,$D$2,$D$3,$D$4,$D$5,$D$6)</f>
        <v>8.6530092692808545</v>
      </c>
      <c r="C87">
        <f>MeanOfLogNormalCallOption(C$18,$D$2,$D$3,$D$4,$D$5,$D$6)</f>
        <v>28.087327764262227</v>
      </c>
      <c r="D87">
        <f>MeanOfLogNormalCallOption(D$18,$D$2,$D$3,$D$4,$D$5,$D$6)</f>
        <v>21.243634500328128</v>
      </c>
      <c r="E87">
        <f>MeanOfLogNormalCallOption(E$18,$D$2,$D$3,$D$4,$D$5,$D$6)</f>
        <v>22.179612808179257</v>
      </c>
      <c r="F87">
        <f>MeanOfLogNormalCallOption(F$18,$D$2,$D$3,$D$4,$D$5,$D$6)</f>
        <v>21.480541205300657</v>
      </c>
      <c r="H87">
        <v>39.5</v>
      </c>
      <c r="I87">
        <v>0</v>
      </c>
      <c r="J87">
        <v>0</v>
      </c>
      <c r="K87">
        <v>0</v>
      </c>
      <c r="L87">
        <v>0</v>
      </c>
      <c r="M87">
        <v>0</v>
      </c>
      <c r="P87">
        <f t="shared" si="11"/>
        <v>0.4</v>
      </c>
      <c r="Q87">
        <f t="shared" si="11"/>
        <v>0.26</v>
      </c>
      <c r="R87">
        <f t="shared" si="11"/>
        <v>0.309</v>
      </c>
      <c r="S87">
        <f t="shared" si="11"/>
        <v>0.31119999999999998</v>
      </c>
      <c r="T87">
        <f t="shared" si="11"/>
        <v>0.32140000000000002</v>
      </c>
    </row>
    <row r="88" spans="1:20" x14ac:dyDescent="0.15">
      <c r="A88">
        <v>70</v>
      </c>
      <c r="B88">
        <f>MeanOfLogNormalCallOption(B$18,$D$2,$D$3,$D$4,$D$5,$D$6)</f>
        <v>21.016704980334659</v>
      </c>
      <c r="C88">
        <f>MeanOfLogNormalCallOption(C$18,$D$2,$D$3,$D$4,$D$5,$D$6)</f>
        <v>20.064329903019175</v>
      </c>
      <c r="D88">
        <f>MeanOfLogNormalCallOption(D$18,$D$2,$D$3,$D$4,$D$5,$D$6)</f>
        <v>21.91122501371326</v>
      </c>
      <c r="E88">
        <f>MeanOfLogNormalCallOption(E$18,$D$2,$D$3,$D$4,$D$5,$D$6)</f>
        <v>22.106916539507186</v>
      </c>
      <c r="F88">
        <f>MeanOfLogNormalCallOption(F$18,$D$2,$D$3,$D$4,$D$5,$D$6)</f>
        <v>22.194728007025208</v>
      </c>
      <c r="H88">
        <v>40</v>
      </c>
      <c r="I88">
        <v>0</v>
      </c>
      <c r="J88">
        <v>0</v>
      </c>
      <c r="K88">
        <v>0</v>
      </c>
      <c r="L88">
        <v>0</v>
      </c>
      <c r="M88">
        <v>0</v>
      </c>
      <c r="P88">
        <f t="shared" si="11"/>
        <v>0.2</v>
      </c>
      <c r="Q88">
        <f t="shared" si="11"/>
        <v>0.31</v>
      </c>
      <c r="R88">
        <f t="shared" si="11"/>
        <v>0.307</v>
      </c>
      <c r="S88">
        <f t="shared" si="11"/>
        <v>0.308</v>
      </c>
      <c r="T88">
        <f t="shared" si="11"/>
        <v>0.31909999999999999</v>
      </c>
    </row>
    <row r="89" spans="1:20" x14ac:dyDescent="0.15">
      <c r="A89">
        <v>71</v>
      </c>
      <c r="B89">
        <f>MeanOfLogNormalCallOption(B$18,$D$2,$D$3,$D$4,$D$5,$D$6)</f>
        <v>4.6341057857205881</v>
      </c>
      <c r="C89">
        <f>MeanOfLogNormalCallOption(C$18,$D$2,$D$3,$D$4,$D$5,$D$6)</f>
        <v>23.735848031538875</v>
      </c>
      <c r="D89">
        <f>MeanOfLogNormalCallOption(D$18,$D$2,$D$3,$D$4,$D$5,$D$6)</f>
        <v>19.497773712218063</v>
      </c>
      <c r="E89">
        <f>MeanOfLogNormalCallOption(E$18,$D$2,$D$3,$D$4,$D$5,$D$6)</f>
        <v>22.959199176754602</v>
      </c>
      <c r="F89">
        <f>MeanOfLogNormalCallOption(F$18,$D$2,$D$3,$D$4,$D$5,$D$6)</f>
        <v>22.543495820298617</v>
      </c>
      <c r="P89">
        <f t="shared" si="11"/>
        <v>0.1</v>
      </c>
      <c r="Q89">
        <f t="shared" si="11"/>
        <v>0.28999999999999998</v>
      </c>
      <c r="R89">
        <f t="shared" si="11"/>
        <v>0.30099999999999999</v>
      </c>
      <c r="S89">
        <f t="shared" si="11"/>
        <v>0.31359999999999999</v>
      </c>
      <c r="T89">
        <f t="shared" si="11"/>
        <v>0.31640000000000001</v>
      </c>
    </row>
    <row r="90" spans="1:20" x14ac:dyDescent="0.15">
      <c r="A90">
        <v>72</v>
      </c>
      <c r="B90">
        <f>MeanOfLogNormalCallOption(B$18,$D$2,$D$3,$D$4,$D$5,$D$6)</f>
        <v>19.949958582118914</v>
      </c>
      <c r="C90">
        <f>MeanOfLogNormalCallOption(C$18,$D$2,$D$3,$D$4,$D$5,$D$6)</f>
        <v>25.659210365691749</v>
      </c>
      <c r="D90">
        <f>MeanOfLogNormalCallOption(D$18,$D$2,$D$3,$D$4,$D$5,$D$6)</f>
        <v>22.861863023303609</v>
      </c>
      <c r="E90">
        <f>MeanOfLogNormalCallOption(E$18,$D$2,$D$3,$D$4,$D$5,$D$6)</f>
        <v>23.296235099807948</v>
      </c>
      <c r="F90">
        <f>MeanOfLogNormalCallOption(F$18,$D$2,$D$3,$D$4,$D$5,$D$6)</f>
        <v>22.562905014808084</v>
      </c>
      <c r="P90">
        <f t="shared" si="11"/>
        <v>0.5</v>
      </c>
      <c r="Q90">
        <f t="shared" si="11"/>
        <v>0.39</v>
      </c>
      <c r="R90">
        <f t="shared" si="11"/>
        <v>0.28599999999999998</v>
      </c>
      <c r="S90">
        <f t="shared" si="11"/>
        <v>0.31580000000000003</v>
      </c>
      <c r="T90">
        <f t="shared" si="11"/>
        <v>0.31040000000000001</v>
      </c>
    </row>
    <row r="91" spans="1:20" x14ac:dyDescent="0.15">
      <c r="A91">
        <v>73</v>
      </c>
      <c r="B91">
        <f>MeanOfLogNormalCallOption(B$18,$D$2,$D$3,$D$4,$D$5,$D$6)</f>
        <v>33.670667190128597</v>
      </c>
      <c r="C91">
        <f>MeanOfLogNormalCallOption(C$18,$D$2,$D$3,$D$4,$D$5,$D$6)</f>
        <v>23.908938929720417</v>
      </c>
      <c r="D91">
        <f>MeanOfLogNormalCallOption(D$18,$D$2,$D$3,$D$4,$D$5,$D$6)</f>
        <v>22.563728801797986</v>
      </c>
      <c r="E91">
        <f>MeanOfLogNormalCallOption(E$18,$D$2,$D$3,$D$4,$D$5,$D$6)</f>
        <v>22.122594117944537</v>
      </c>
      <c r="F91">
        <f>MeanOfLogNormalCallOption(F$18,$D$2,$D$3,$D$4,$D$5,$D$6)</f>
        <v>22.703695361551915</v>
      </c>
      <c r="P91">
        <f t="shared" si="11"/>
        <v>0.4</v>
      </c>
      <c r="Q91">
        <f t="shared" si="11"/>
        <v>0.4</v>
      </c>
      <c r="R91">
        <f t="shared" si="11"/>
        <v>0.28799999999999998</v>
      </c>
      <c r="S91">
        <f t="shared" si="11"/>
        <v>0.32700000000000001</v>
      </c>
      <c r="T91">
        <f t="shared" si="11"/>
        <v>0.3085</v>
      </c>
    </row>
    <row r="92" spans="1:20" x14ac:dyDescent="0.15">
      <c r="A92">
        <v>74</v>
      </c>
      <c r="B92">
        <f>MeanOfLogNormalCallOption(B$18,$D$2,$D$3,$D$4,$D$5,$D$6)</f>
        <v>29.222304984391663</v>
      </c>
      <c r="C92">
        <f>MeanOfLogNormalCallOption(C$18,$D$2,$D$3,$D$4,$D$5,$D$6)</f>
        <v>12.379395444606367</v>
      </c>
      <c r="D92">
        <f>MeanOfLogNormalCallOption(D$18,$D$2,$D$3,$D$4,$D$5,$D$6)</f>
        <v>23.443858764465492</v>
      </c>
      <c r="E92">
        <f>MeanOfLogNormalCallOption(E$18,$D$2,$D$3,$D$4,$D$5,$D$6)</f>
        <v>22.726937681314755</v>
      </c>
      <c r="F92">
        <f>MeanOfLogNormalCallOption(F$18,$D$2,$D$3,$D$4,$D$5,$D$6)</f>
        <v>23.017449913212154</v>
      </c>
      <c r="P92">
        <f t="shared" si="11"/>
        <v>0.4</v>
      </c>
      <c r="Q92">
        <f t="shared" si="11"/>
        <v>0.24</v>
      </c>
      <c r="R92">
        <f t="shared" si="11"/>
        <v>0.29299999999999998</v>
      </c>
      <c r="S92">
        <f t="shared" si="11"/>
        <v>0.31940000000000002</v>
      </c>
      <c r="T92">
        <f t="shared" si="11"/>
        <v>0.31359999999999999</v>
      </c>
    </row>
    <row r="93" spans="1:20" x14ac:dyDescent="0.15">
      <c r="A93">
        <v>75</v>
      </c>
      <c r="B93">
        <f>MeanOfLogNormalCallOption(B$18,$D$2,$D$3,$D$4,$D$5,$D$6)</f>
        <v>27.164882867899287</v>
      </c>
      <c r="C93">
        <f>MeanOfLogNormalCallOption(C$18,$D$2,$D$3,$D$4,$D$5,$D$6)</f>
        <v>20.523688114262718</v>
      </c>
      <c r="D93">
        <f>MeanOfLogNormalCallOption(D$18,$D$2,$D$3,$D$4,$D$5,$D$6)</f>
        <v>22.530023984195804</v>
      </c>
      <c r="E93">
        <f>MeanOfLogNormalCallOption(E$18,$D$2,$D$3,$D$4,$D$5,$D$6)</f>
        <v>22.907609840646117</v>
      </c>
      <c r="F93">
        <f>MeanOfLogNormalCallOption(F$18,$D$2,$D$3,$D$4,$D$5,$D$6)</f>
        <v>23.550555256381152</v>
      </c>
      <c r="P93">
        <f t="shared" si="11"/>
        <v>0.3</v>
      </c>
      <c r="Q93">
        <f t="shared" si="11"/>
        <v>0.23</v>
      </c>
      <c r="R93">
        <f t="shared" si="11"/>
        <v>0.33100000000000002</v>
      </c>
      <c r="S93">
        <f t="shared" si="11"/>
        <v>0.30740000000000001</v>
      </c>
      <c r="T93">
        <f t="shared" si="11"/>
        <v>0.318</v>
      </c>
    </row>
    <row r="94" spans="1:20" x14ac:dyDescent="0.15">
      <c r="A94">
        <v>76</v>
      </c>
      <c r="B94">
        <f>MeanOfLogNormalCallOption(B$18,$D$2,$D$3,$D$4,$D$5,$D$6)</f>
        <v>19.23430829926404</v>
      </c>
      <c r="C94">
        <f>MeanOfLogNormalCallOption(C$18,$D$2,$D$3,$D$4,$D$5,$D$6)</f>
        <v>20.444404782798223</v>
      </c>
      <c r="D94">
        <f>MeanOfLogNormalCallOption(D$18,$D$2,$D$3,$D$4,$D$5,$D$6)</f>
        <v>20.276399471837561</v>
      </c>
      <c r="E94">
        <f>MeanOfLogNormalCallOption(E$18,$D$2,$D$3,$D$4,$D$5,$D$6)</f>
        <v>22.300470613432022</v>
      </c>
      <c r="F94">
        <f>MeanOfLogNormalCallOption(F$18,$D$2,$D$3,$D$4,$D$5,$D$6)</f>
        <v>22.503704659291987</v>
      </c>
      <c r="P94">
        <f t="shared" si="11"/>
        <v>0.4</v>
      </c>
      <c r="Q94">
        <f t="shared" si="11"/>
        <v>0.32</v>
      </c>
      <c r="R94">
        <f t="shared" si="11"/>
        <v>0.30499999999999999</v>
      </c>
      <c r="S94">
        <f t="shared" si="11"/>
        <v>0.30059999999999998</v>
      </c>
      <c r="T94">
        <f t="shared" si="11"/>
        <v>0.31919999999999998</v>
      </c>
    </row>
    <row r="95" spans="1:20" x14ac:dyDescent="0.15">
      <c r="A95">
        <v>77</v>
      </c>
      <c r="B95">
        <f>MeanOfLogNormalCallOption(B$18,$D$2,$D$3,$D$4,$D$5,$D$6)</f>
        <v>12.902931638363725</v>
      </c>
      <c r="C95">
        <f>MeanOfLogNormalCallOption(C$18,$D$2,$D$3,$D$4,$D$5,$D$6)</f>
        <v>12.95868155368832</v>
      </c>
      <c r="D95">
        <f>MeanOfLogNormalCallOption(D$18,$D$2,$D$3,$D$4,$D$5,$D$6)</f>
        <v>23.505774340491346</v>
      </c>
      <c r="E95">
        <f>MeanOfLogNormalCallOption(E$18,$D$2,$D$3,$D$4,$D$5,$D$6)</f>
        <v>23.557638941533767</v>
      </c>
      <c r="F95">
        <f>MeanOfLogNormalCallOption(F$18,$D$2,$D$3,$D$4,$D$5,$D$6)</f>
        <v>23.864694195102654</v>
      </c>
      <c r="P95">
        <f t="shared" si="11"/>
        <v>0.1</v>
      </c>
      <c r="Q95">
        <f t="shared" si="11"/>
        <v>0.41</v>
      </c>
      <c r="R95">
        <f t="shared" si="11"/>
        <v>0.316</v>
      </c>
      <c r="S95">
        <f t="shared" si="11"/>
        <v>0.32600000000000001</v>
      </c>
      <c r="T95">
        <f t="shared" si="11"/>
        <v>0.31609999999999999</v>
      </c>
    </row>
    <row r="96" spans="1:20" x14ac:dyDescent="0.15">
      <c r="A96">
        <v>78</v>
      </c>
      <c r="B96">
        <f>MeanOfLogNormalCallOption(B$18,$D$2,$D$3,$D$4,$D$5,$D$6)</f>
        <v>7.9079169283261788</v>
      </c>
      <c r="C96">
        <f>MeanOfLogNormalCallOption(C$18,$D$2,$D$3,$D$4,$D$5,$D$6)</f>
        <v>12.740483560585524</v>
      </c>
      <c r="D96">
        <f>MeanOfLogNormalCallOption(D$18,$D$2,$D$3,$D$4,$D$5,$D$6)</f>
        <v>19.838474451602188</v>
      </c>
      <c r="E96">
        <f>MeanOfLogNormalCallOption(E$18,$D$2,$D$3,$D$4,$D$5,$D$6)</f>
        <v>22.277361825959431</v>
      </c>
      <c r="F96">
        <f>MeanOfLogNormalCallOption(F$18,$D$2,$D$3,$D$4,$D$5,$D$6)</f>
        <v>23.89337852239456</v>
      </c>
      <c r="P96">
        <f t="shared" si="11"/>
        <v>0.2</v>
      </c>
      <c r="Q96">
        <f t="shared" si="11"/>
        <v>0.34</v>
      </c>
      <c r="R96">
        <f t="shared" si="11"/>
        <v>0.33100000000000002</v>
      </c>
      <c r="S96">
        <f t="shared" si="11"/>
        <v>0.31240000000000001</v>
      </c>
      <c r="T96">
        <f t="shared" si="11"/>
        <v>0.31459999999999999</v>
      </c>
    </row>
    <row r="97" spans="1:20" x14ac:dyDescent="0.15">
      <c r="A97">
        <v>79</v>
      </c>
      <c r="B97">
        <f>MeanOfLogNormalCallOption(B$18,$D$2,$D$3,$D$4,$D$5,$D$6)</f>
        <v>33.183751859687938</v>
      </c>
      <c r="C97">
        <f>MeanOfLogNormalCallOption(C$18,$D$2,$D$3,$D$4,$D$5,$D$6)</f>
        <v>27.909541518614127</v>
      </c>
      <c r="D97">
        <f>MeanOfLogNormalCallOption(D$18,$D$2,$D$3,$D$4,$D$5,$D$6)</f>
        <v>21.658809287153002</v>
      </c>
      <c r="E97">
        <f>MeanOfLogNormalCallOption(E$18,$D$2,$D$3,$D$4,$D$5,$D$6)</f>
        <v>23.233870600544666</v>
      </c>
      <c r="F97">
        <f>MeanOfLogNormalCallOption(F$18,$D$2,$D$3,$D$4,$D$5,$D$6)</f>
        <v>22.897552386939548</v>
      </c>
      <c r="P97">
        <f t="shared" si="11"/>
        <v>0.3</v>
      </c>
      <c r="Q97">
        <f t="shared" si="11"/>
        <v>0.37</v>
      </c>
      <c r="R97">
        <f t="shared" si="11"/>
        <v>0.32</v>
      </c>
      <c r="S97">
        <f t="shared" si="11"/>
        <v>0.313</v>
      </c>
      <c r="T97">
        <f t="shared" si="11"/>
        <v>0.32290000000000002</v>
      </c>
    </row>
    <row r="98" spans="1:20" x14ac:dyDescent="0.15">
      <c r="A98">
        <v>80</v>
      </c>
      <c r="B98">
        <f>MeanOfLogNormalCallOption(B$18,$D$2,$D$3,$D$4,$D$5,$D$6)</f>
        <v>21.7061812199779</v>
      </c>
      <c r="C98">
        <f>MeanOfLogNormalCallOption(C$18,$D$2,$D$3,$D$4,$D$5,$D$6)</f>
        <v>14.703183319696311</v>
      </c>
      <c r="D98">
        <f>MeanOfLogNormalCallOption(D$18,$D$2,$D$3,$D$4,$D$5,$D$6)</f>
        <v>23.684609632474</v>
      </c>
      <c r="E98">
        <f>MeanOfLogNormalCallOption(E$18,$D$2,$D$3,$D$4,$D$5,$D$6)</f>
        <v>23.265687041127837</v>
      </c>
      <c r="F98">
        <f>MeanOfLogNormalCallOption(F$18,$D$2,$D$3,$D$4,$D$5,$D$6)</f>
        <v>23.479608300080102</v>
      </c>
      <c r="P98">
        <f t="shared" si="11"/>
        <v>0.2</v>
      </c>
      <c r="Q98">
        <f t="shared" si="11"/>
        <v>0.35</v>
      </c>
      <c r="R98">
        <f t="shared" si="11"/>
        <v>0.34</v>
      </c>
      <c r="S98">
        <f t="shared" si="11"/>
        <v>0.31259999999999999</v>
      </c>
      <c r="T98">
        <f t="shared" si="11"/>
        <v>0.32200000000000001</v>
      </c>
    </row>
    <row r="99" spans="1:20" x14ac:dyDescent="0.15">
      <c r="A99">
        <v>81</v>
      </c>
      <c r="B99">
        <f>MeanOfLogNormalCallOption(B$18,$D$2,$D$3,$D$4,$D$5,$D$6)</f>
        <v>24.704763082906375</v>
      </c>
      <c r="C99">
        <f>MeanOfLogNormalCallOption(C$18,$D$2,$D$3,$D$4,$D$5,$D$6)</f>
        <v>24.891624544029057</v>
      </c>
      <c r="D99">
        <f>MeanOfLogNormalCallOption(D$18,$D$2,$D$3,$D$4,$D$5,$D$6)</f>
        <v>21.203758213358764</v>
      </c>
      <c r="E99">
        <f>MeanOfLogNormalCallOption(E$18,$D$2,$D$3,$D$4,$D$5,$D$6)</f>
        <v>22.056588771405398</v>
      </c>
      <c r="F99">
        <f>MeanOfLogNormalCallOption(F$18,$D$2,$D$3,$D$4,$D$5,$D$6)</f>
        <v>22.493390967807326</v>
      </c>
      <c r="P99">
        <f t="shared" si="11"/>
        <v>0.2</v>
      </c>
      <c r="Q99">
        <f t="shared" si="11"/>
        <v>0.34</v>
      </c>
      <c r="R99">
        <f t="shared" si="11"/>
        <v>0.34399999999999997</v>
      </c>
      <c r="S99">
        <f t="shared" si="11"/>
        <v>0.32</v>
      </c>
      <c r="T99">
        <f t="shared" si="11"/>
        <v>0.31419999999999998</v>
      </c>
    </row>
    <row r="100" spans="1:20" x14ac:dyDescent="0.15">
      <c r="A100">
        <v>82</v>
      </c>
      <c r="B100">
        <f>MeanOfLogNormalCallOption(B$18,$D$2,$D$3,$D$4,$D$5,$D$6)</f>
        <v>44.562049959316106</v>
      </c>
      <c r="C100">
        <f>MeanOfLogNormalCallOption(C$18,$D$2,$D$3,$D$4,$D$5,$D$6)</f>
        <v>18.576189897879534</v>
      </c>
      <c r="D100">
        <f>MeanOfLogNormalCallOption(D$18,$D$2,$D$3,$D$4,$D$5,$D$6)</f>
        <v>22.566572119711665</v>
      </c>
      <c r="E100">
        <f>MeanOfLogNormalCallOption(E$18,$D$2,$D$3,$D$4,$D$5,$D$6)</f>
        <v>21.943379608707598</v>
      </c>
      <c r="F100">
        <f>MeanOfLogNormalCallOption(F$18,$D$2,$D$3,$D$4,$D$5,$D$6)</f>
        <v>22.282588740776553</v>
      </c>
      <c r="P100">
        <f t="shared" ref="P100:T108" si="12">MeanOfLogNormalDigitalOption(P$18,$D$2,$D$3,$D$4,$D$5,$D$6)</f>
        <v>0.5</v>
      </c>
      <c r="Q100">
        <f t="shared" si="12"/>
        <v>0.31</v>
      </c>
      <c r="R100">
        <f t="shared" si="12"/>
        <v>0.32500000000000001</v>
      </c>
      <c r="S100">
        <f t="shared" si="12"/>
        <v>0.31440000000000001</v>
      </c>
      <c r="T100">
        <f t="shared" si="12"/>
        <v>0.30909999999999999</v>
      </c>
    </row>
    <row r="101" spans="1:20" x14ac:dyDescent="0.15">
      <c r="A101">
        <v>83</v>
      </c>
      <c r="B101">
        <f>MeanOfLogNormalCallOption(B$18,$D$2,$D$3,$D$4,$D$5,$D$6)</f>
        <v>46.235008219284246</v>
      </c>
      <c r="C101">
        <f>MeanOfLogNormalCallOption(C$18,$D$2,$D$3,$D$4,$D$5,$D$6)</f>
        <v>26.790882212359964</v>
      </c>
      <c r="D101">
        <f>MeanOfLogNormalCallOption(D$18,$D$2,$D$3,$D$4,$D$5,$D$6)</f>
        <v>24.207433008020232</v>
      </c>
      <c r="E101">
        <f>MeanOfLogNormalCallOption(E$18,$D$2,$D$3,$D$4,$D$5,$D$6)</f>
        <v>22.022096781803505</v>
      </c>
      <c r="F101">
        <f>MeanOfLogNormalCallOption(F$18,$D$2,$D$3,$D$4,$D$5,$D$6)</f>
        <v>22.556466885940168</v>
      </c>
      <c r="P101">
        <f t="shared" si="12"/>
        <v>0.2</v>
      </c>
      <c r="Q101">
        <f t="shared" si="12"/>
        <v>0.34</v>
      </c>
      <c r="R101">
        <f t="shared" si="12"/>
        <v>0.33500000000000002</v>
      </c>
      <c r="S101">
        <f t="shared" si="12"/>
        <v>0.30740000000000001</v>
      </c>
      <c r="T101">
        <f t="shared" si="12"/>
        <v>0.31990000000000002</v>
      </c>
    </row>
    <row r="102" spans="1:20" x14ac:dyDescent="0.15">
      <c r="A102">
        <v>84</v>
      </c>
      <c r="B102">
        <f>MeanOfLogNormalCallOption(B$18,$D$2,$D$3,$D$4,$D$5,$D$6)</f>
        <v>26.995306701382191</v>
      </c>
      <c r="C102">
        <f>MeanOfLogNormalCallOption(C$18,$D$2,$D$3,$D$4,$D$5,$D$6)</f>
        <v>24.217675171543938</v>
      </c>
      <c r="D102">
        <f>MeanOfLogNormalCallOption(D$18,$D$2,$D$3,$D$4,$D$5,$D$6)</f>
        <v>24.234546988967043</v>
      </c>
      <c r="E102">
        <f>MeanOfLogNormalCallOption(E$18,$D$2,$D$3,$D$4,$D$5,$D$6)</f>
        <v>22.237848540691832</v>
      </c>
      <c r="F102">
        <f>MeanOfLogNormalCallOption(F$18,$D$2,$D$3,$D$4,$D$5,$D$6)</f>
        <v>22.940570454052938</v>
      </c>
      <c r="P102">
        <f t="shared" si="12"/>
        <v>0.3</v>
      </c>
      <c r="Q102">
        <f t="shared" si="12"/>
        <v>0.36</v>
      </c>
      <c r="R102">
        <f t="shared" si="12"/>
        <v>0.32100000000000001</v>
      </c>
      <c r="S102">
        <f t="shared" si="12"/>
        <v>0.31340000000000001</v>
      </c>
      <c r="T102">
        <f t="shared" si="12"/>
        <v>0.31090000000000001</v>
      </c>
    </row>
    <row r="103" spans="1:20" x14ac:dyDescent="0.15">
      <c r="A103">
        <v>85</v>
      </c>
      <c r="B103">
        <f>MeanOfLogNormalCallOption(B$18,$D$2,$D$3,$D$4,$D$5,$D$6)</f>
        <v>30.063437940307359</v>
      </c>
      <c r="C103">
        <f>MeanOfLogNormalCallOption(C$18,$D$2,$D$3,$D$4,$D$5,$D$6)</f>
        <v>21.350260134220335</v>
      </c>
      <c r="D103">
        <f>MeanOfLogNormalCallOption(D$18,$D$2,$D$3,$D$4,$D$5,$D$6)</f>
        <v>24.477077723680601</v>
      </c>
      <c r="E103">
        <f>MeanOfLogNormalCallOption(E$18,$D$2,$D$3,$D$4,$D$5,$D$6)</f>
        <v>22.423552162568924</v>
      </c>
      <c r="F103">
        <f>MeanOfLogNormalCallOption(F$18,$D$2,$D$3,$D$4,$D$5,$D$6)</f>
        <v>23.494837607992974</v>
      </c>
      <c r="P103">
        <f t="shared" si="12"/>
        <v>0.2</v>
      </c>
      <c r="Q103">
        <f t="shared" si="12"/>
        <v>0.39</v>
      </c>
      <c r="R103">
        <f t="shared" si="12"/>
        <v>0.31</v>
      </c>
      <c r="S103">
        <f t="shared" si="12"/>
        <v>0.31519999999999998</v>
      </c>
      <c r="T103">
        <f t="shared" si="12"/>
        <v>0.32100000000000001</v>
      </c>
    </row>
    <row r="104" spans="1:20" x14ac:dyDescent="0.15">
      <c r="A104">
        <v>86</v>
      </c>
      <c r="B104">
        <f>MeanOfLogNormalCallOption(B$18,$D$2,$D$3,$D$4,$D$5,$D$6)</f>
        <v>36.020041507086106</v>
      </c>
      <c r="C104">
        <f>MeanOfLogNormalCallOption(C$18,$D$2,$D$3,$D$4,$D$5,$D$6)</f>
        <v>17.033375571901367</v>
      </c>
      <c r="D104">
        <f>MeanOfLogNormalCallOption(D$18,$D$2,$D$3,$D$4,$D$5,$D$6)</f>
        <v>24.22124932046021</v>
      </c>
      <c r="E104">
        <f>MeanOfLogNormalCallOption(E$18,$D$2,$D$3,$D$4,$D$5,$D$6)</f>
        <v>22.815364905492292</v>
      </c>
      <c r="F104">
        <f>MeanOfLogNormalCallOption(F$18,$D$2,$D$3,$D$4,$D$5,$D$6)</f>
        <v>23.081164879516468</v>
      </c>
      <c r="P104">
        <f t="shared" si="12"/>
        <v>0.5</v>
      </c>
      <c r="Q104">
        <f t="shared" si="12"/>
        <v>0.3</v>
      </c>
      <c r="R104">
        <f t="shared" si="12"/>
        <v>0.32600000000000001</v>
      </c>
      <c r="S104">
        <f t="shared" si="12"/>
        <v>0.32019999999999998</v>
      </c>
      <c r="T104">
        <f t="shared" si="12"/>
        <v>0.31280000000000002</v>
      </c>
    </row>
    <row r="105" spans="1:20" x14ac:dyDescent="0.15">
      <c r="A105">
        <v>87</v>
      </c>
      <c r="B105">
        <f>MeanOfLogNormalCallOption(B$18,$D$2,$D$3,$D$4,$D$5,$D$6)</f>
        <v>40.853977094198626</v>
      </c>
      <c r="C105">
        <f>MeanOfLogNormalCallOption(C$18,$D$2,$D$3,$D$4,$D$5,$D$6)</f>
        <v>20.563691388281587</v>
      </c>
      <c r="D105">
        <f>MeanOfLogNormalCallOption(D$18,$D$2,$D$3,$D$4,$D$5,$D$6)</f>
        <v>21.121368157677217</v>
      </c>
      <c r="E105">
        <f>MeanOfLogNormalCallOption(E$18,$D$2,$D$3,$D$4,$D$5,$D$6)</f>
        <v>22.447081880453965</v>
      </c>
      <c r="F105">
        <f>MeanOfLogNormalCallOption(F$18,$D$2,$D$3,$D$4,$D$5,$D$6)</f>
        <v>22.831242685853333</v>
      </c>
      <c r="P105">
        <f t="shared" si="12"/>
        <v>0.2</v>
      </c>
      <c r="Q105">
        <f t="shared" si="12"/>
        <v>0.32</v>
      </c>
      <c r="R105">
        <f t="shared" si="12"/>
        <v>0.312</v>
      </c>
      <c r="S105">
        <f t="shared" si="12"/>
        <v>0.30499999999999999</v>
      </c>
      <c r="T105">
        <f t="shared" si="12"/>
        <v>0.31879999999999997</v>
      </c>
    </row>
    <row r="106" spans="1:20" x14ac:dyDescent="0.15">
      <c r="A106">
        <v>88</v>
      </c>
      <c r="B106">
        <f>MeanOfLogNormalCallOption(B$18,$D$2,$D$3,$D$4,$D$5,$D$6)</f>
        <v>21.389125135008577</v>
      </c>
      <c r="C106">
        <f>MeanOfLogNormalCallOption(C$18,$D$2,$D$3,$D$4,$D$5,$D$6)</f>
        <v>20.77941194748054</v>
      </c>
      <c r="D106">
        <f>MeanOfLogNormalCallOption(D$18,$D$2,$D$3,$D$4,$D$5,$D$6)</f>
        <v>23.167343750867094</v>
      </c>
      <c r="E106">
        <f>MeanOfLogNormalCallOption(E$18,$D$2,$D$3,$D$4,$D$5,$D$6)</f>
        <v>23.837029391691672</v>
      </c>
      <c r="F106">
        <f>MeanOfLogNormalCallOption(F$18,$D$2,$D$3,$D$4,$D$5,$D$6)</f>
        <v>22.389382361237715</v>
      </c>
      <c r="P106">
        <f t="shared" si="12"/>
        <v>0.4</v>
      </c>
      <c r="Q106">
        <f t="shared" si="12"/>
        <v>0.28000000000000003</v>
      </c>
      <c r="R106">
        <f t="shared" si="12"/>
        <v>0.30399999999999999</v>
      </c>
      <c r="S106">
        <f t="shared" si="12"/>
        <v>0.31340000000000001</v>
      </c>
      <c r="T106">
        <f t="shared" si="12"/>
        <v>0.31690000000000002</v>
      </c>
    </row>
    <row r="107" spans="1:20" x14ac:dyDescent="0.15">
      <c r="A107">
        <v>89</v>
      </c>
      <c r="B107">
        <f>MeanOfLogNormalCallOption(B$18,$D$2,$D$3,$D$4,$D$5,$D$6)</f>
        <v>0</v>
      </c>
      <c r="C107">
        <f>MeanOfLogNormalCallOption(C$18,$D$2,$D$3,$D$4,$D$5,$D$6)</f>
        <v>15.04226666573169</v>
      </c>
      <c r="D107">
        <f>MeanOfLogNormalCallOption(D$18,$D$2,$D$3,$D$4,$D$5,$D$6)</f>
        <v>20.990963592911996</v>
      </c>
      <c r="E107">
        <f>MeanOfLogNormalCallOption(E$18,$D$2,$D$3,$D$4,$D$5,$D$6)</f>
        <v>22.675711532001674</v>
      </c>
      <c r="F107">
        <f>MeanOfLogNormalCallOption(F$18,$D$2,$D$3,$D$4,$D$5,$D$6)</f>
        <v>23.261913857273093</v>
      </c>
      <c r="P107">
        <f t="shared" si="12"/>
        <v>0.2</v>
      </c>
      <c r="Q107">
        <f t="shared" si="12"/>
        <v>0.31</v>
      </c>
      <c r="R107">
        <f t="shared" si="12"/>
        <v>0.30599999999999999</v>
      </c>
      <c r="S107">
        <f t="shared" si="12"/>
        <v>0.31719999999999998</v>
      </c>
      <c r="T107">
        <f t="shared" si="12"/>
        <v>0.31759999999999999</v>
      </c>
    </row>
    <row r="108" spans="1:20" x14ac:dyDescent="0.15">
      <c r="A108">
        <v>90</v>
      </c>
      <c r="B108">
        <f>MeanOfLogNormalCallOption(B$18,$D$2,$D$3,$D$4,$D$5,$D$6)</f>
        <v>34.95954602775867</v>
      </c>
      <c r="C108">
        <f>MeanOfLogNormalCallOption(C$18,$D$2,$D$3,$D$4,$D$5,$D$6)</f>
        <v>17.374849385613746</v>
      </c>
      <c r="D108">
        <f>MeanOfLogNormalCallOption(D$18,$D$2,$D$3,$D$4,$D$5,$D$6)</f>
        <v>23.170091663023591</v>
      </c>
      <c r="E108">
        <f>MeanOfLogNormalCallOption(E$18,$D$2,$D$3,$D$4,$D$5,$D$6)</f>
        <v>23.35542877324368</v>
      </c>
      <c r="F108">
        <f>MeanOfLogNormalCallOption(F$18,$D$2,$D$3,$D$4,$D$5,$D$6)</f>
        <v>22.804260195420511</v>
      </c>
      <c r="P108">
        <f t="shared" si="12"/>
        <v>0.3</v>
      </c>
      <c r="Q108">
        <f t="shared" si="12"/>
        <v>0.37</v>
      </c>
      <c r="R108">
        <f t="shared" si="12"/>
        <v>0.34300000000000003</v>
      </c>
      <c r="S108">
        <f t="shared" si="12"/>
        <v>0.31280000000000002</v>
      </c>
      <c r="T108">
        <f t="shared" si="12"/>
        <v>0.31280000000000002</v>
      </c>
    </row>
    <row r="109" spans="1:20" x14ac:dyDescent="0.15">
      <c r="A109">
        <v>91</v>
      </c>
      <c r="B109">
        <f>MeanOfLogNormalCallOption(B$18,$D$2,$D$3,$D$4,$D$5,$D$6)</f>
        <v>36.651833917577918</v>
      </c>
      <c r="C109">
        <f>MeanOfLogNormalCallOption(C$18,$D$2,$D$3,$D$4,$D$5,$D$6)</f>
        <v>23.853154284713924</v>
      </c>
      <c r="D109">
        <f>MeanOfLogNormalCallOption(D$18,$D$2,$D$3,$D$4,$D$5,$D$6)</f>
        <v>21.203489384721991</v>
      </c>
      <c r="E109">
        <f>MeanOfLogNormalCallOption(E$18,$D$2,$D$3,$D$4,$D$5,$D$6)</f>
        <v>22.139722708336734</v>
      </c>
      <c r="F109">
        <f>MeanOfLogNormalCallOption(F$18,$D$2,$D$3,$D$4,$D$5,$D$6)</f>
        <v>22.696507644763802</v>
      </c>
    </row>
    <row r="110" spans="1:20" x14ac:dyDescent="0.15">
      <c r="A110">
        <v>92</v>
      </c>
      <c r="B110">
        <f>MeanOfLogNormalCallOption(B$18,$D$2,$D$3,$D$4,$D$5,$D$6)</f>
        <v>16.519180960243833</v>
      </c>
      <c r="C110">
        <f>MeanOfLogNormalCallOption(C$18,$D$2,$D$3,$D$4,$D$5,$D$6)</f>
        <v>24.672086606468028</v>
      </c>
      <c r="D110">
        <f>MeanOfLogNormalCallOption(D$18,$D$2,$D$3,$D$4,$D$5,$D$6)</f>
        <v>22.604376411599034</v>
      </c>
      <c r="E110">
        <f>MeanOfLogNormalCallOption(E$18,$D$2,$D$3,$D$4,$D$5,$D$6)</f>
        <v>21.817388140483455</v>
      </c>
      <c r="F110">
        <f>MeanOfLogNormalCallOption(F$18,$D$2,$D$3,$D$4,$D$5,$D$6)</f>
        <v>23.019398914924189</v>
      </c>
    </row>
    <row r="111" spans="1:20" x14ac:dyDescent="0.15">
      <c r="A111">
        <v>93</v>
      </c>
      <c r="B111">
        <f>MeanOfLogNormalCallOption(B$18,$D$2,$D$3,$D$4,$D$5,$D$6)</f>
        <v>29.247118537566855</v>
      </c>
      <c r="C111">
        <f>MeanOfLogNormalCallOption(C$18,$D$2,$D$3,$D$4,$D$5,$D$6)</f>
        <v>20.862544341245368</v>
      </c>
      <c r="D111">
        <f>MeanOfLogNormalCallOption(D$18,$D$2,$D$3,$D$4,$D$5,$D$6)</f>
        <v>19.032854153758223</v>
      </c>
      <c r="E111">
        <f>MeanOfLogNormalCallOption(E$18,$D$2,$D$3,$D$4,$D$5,$D$6)</f>
        <v>22.27099693324509</v>
      </c>
      <c r="F111">
        <f>MeanOfLogNormalCallOption(F$18,$D$2,$D$3,$D$4,$D$5,$D$6)</f>
        <v>23.564955396989284</v>
      </c>
    </row>
    <row r="112" spans="1:20" x14ac:dyDescent="0.15">
      <c r="A112">
        <v>94</v>
      </c>
      <c r="B112">
        <f>MeanOfLogNormalCallOption(B$18,$D$2,$D$3,$D$4,$D$5,$D$6)</f>
        <v>4.621270390501456</v>
      </c>
      <c r="C112">
        <f>MeanOfLogNormalCallOption(C$18,$D$2,$D$3,$D$4,$D$5,$D$6)</f>
        <v>27.270452045623138</v>
      </c>
      <c r="D112">
        <f>MeanOfLogNormalCallOption(D$18,$D$2,$D$3,$D$4,$D$5,$D$6)</f>
        <v>23.772005763631935</v>
      </c>
      <c r="E112">
        <f>MeanOfLogNormalCallOption(E$18,$D$2,$D$3,$D$4,$D$5,$D$6)</f>
        <v>23.009661448577123</v>
      </c>
      <c r="F112">
        <f>MeanOfLogNormalCallOption(F$18,$D$2,$D$3,$D$4,$D$5,$D$6)</f>
        <v>22.727213667044122</v>
      </c>
    </row>
    <row r="113" spans="1:6" x14ac:dyDescent="0.15">
      <c r="A113">
        <v>95</v>
      </c>
      <c r="B113">
        <f>MeanOfLogNormalCallOption(B$18,$D$2,$D$3,$D$4,$D$5,$D$6)</f>
        <v>17.473729554182512</v>
      </c>
      <c r="C113">
        <f>MeanOfLogNormalCallOption(C$18,$D$2,$D$3,$D$4,$D$5,$D$6)</f>
        <v>25.645981588962382</v>
      </c>
      <c r="D113">
        <f>MeanOfLogNormalCallOption(D$18,$D$2,$D$3,$D$4,$D$5,$D$6)</f>
        <v>24.107672227880322</v>
      </c>
      <c r="E113">
        <f>MeanOfLogNormalCallOption(E$18,$D$2,$D$3,$D$4,$D$5,$D$6)</f>
        <v>22.051146816166341</v>
      </c>
      <c r="F113">
        <f>MeanOfLogNormalCallOption(F$18,$D$2,$D$3,$D$4,$D$5,$D$6)</f>
        <v>22.461871066622685</v>
      </c>
    </row>
    <row r="114" spans="1:6" x14ac:dyDescent="0.15">
      <c r="A114">
        <v>96</v>
      </c>
      <c r="B114">
        <f>MeanOfLogNormalCallOption(B$18,$D$2,$D$3,$D$4,$D$5,$D$6)</f>
        <v>59.447707161030678</v>
      </c>
      <c r="C114">
        <f>MeanOfLogNormalCallOption(C$18,$D$2,$D$3,$D$4,$D$5,$D$6)</f>
        <v>20.935947637115419</v>
      </c>
      <c r="D114">
        <f>MeanOfLogNormalCallOption(D$18,$D$2,$D$3,$D$4,$D$5,$D$6)</f>
        <v>20.176086380476992</v>
      </c>
      <c r="E114">
        <f>MeanOfLogNormalCallOption(E$18,$D$2,$D$3,$D$4,$D$5,$D$6)</f>
        <v>23.922112999757992</v>
      </c>
      <c r="F114">
        <f>MeanOfLogNormalCallOption(F$18,$D$2,$D$3,$D$4,$D$5,$D$6)</f>
        <v>23.088551847478875</v>
      </c>
    </row>
    <row r="115" spans="1:6" x14ac:dyDescent="0.15">
      <c r="A115">
        <v>97</v>
      </c>
      <c r="B115">
        <f>MeanOfLogNormalCallOption(B$18,$D$2,$D$3,$D$4,$D$5,$D$6)</f>
        <v>31.045742125907559</v>
      </c>
      <c r="C115">
        <f>MeanOfLogNormalCallOption(C$18,$D$2,$D$3,$D$4,$D$5,$D$6)</f>
        <v>18.335847845091632</v>
      </c>
      <c r="D115">
        <f>MeanOfLogNormalCallOption(D$18,$D$2,$D$3,$D$4,$D$5,$D$6)</f>
        <v>22.781097008847805</v>
      </c>
      <c r="E115">
        <f>MeanOfLogNormalCallOption(E$18,$D$2,$D$3,$D$4,$D$5,$D$6)</f>
        <v>22.339081173657732</v>
      </c>
      <c r="F115">
        <f>MeanOfLogNormalCallOption(F$18,$D$2,$D$3,$D$4,$D$5,$D$6)</f>
        <v>21.995701512519865</v>
      </c>
    </row>
    <row r="116" spans="1:6" x14ac:dyDescent="0.15">
      <c r="A116">
        <v>98</v>
      </c>
      <c r="B116">
        <f>MeanOfLogNormalCallOption(B$18,$D$2,$D$3,$D$4,$D$5,$D$6)</f>
        <v>15.63078627364637</v>
      </c>
      <c r="C116">
        <f>MeanOfLogNormalCallOption(C$18,$D$2,$D$3,$D$4,$D$5,$D$6)</f>
        <v>21.619001933392219</v>
      </c>
      <c r="D116">
        <f>MeanOfLogNormalCallOption(D$18,$D$2,$D$3,$D$4,$D$5,$D$6)</f>
        <v>21.376644167519519</v>
      </c>
      <c r="E116">
        <f>MeanOfLogNormalCallOption(E$18,$D$2,$D$3,$D$4,$D$5,$D$6)</f>
        <v>24.059878872440482</v>
      </c>
      <c r="F116">
        <f>MeanOfLogNormalCallOption(F$18,$D$2,$D$3,$D$4,$D$5,$D$6)</f>
        <v>22.537185745111486</v>
      </c>
    </row>
    <row r="117" spans="1:6" x14ac:dyDescent="0.15">
      <c r="A117">
        <v>99</v>
      </c>
      <c r="B117">
        <f>MeanOfLogNormalCallOption(B$18,$D$2,$D$3,$D$4,$D$5,$D$6)</f>
        <v>32.62982685119497</v>
      </c>
      <c r="C117">
        <f>MeanOfLogNormalCallOption(C$18,$D$2,$D$3,$D$4,$D$5,$D$6)</f>
        <v>22.255401081206269</v>
      </c>
      <c r="D117">
        <f>MeanOfLogNormalCallOption(D$18,$D$2,$D$3,$D$4,$D$5,$D$6)</f>
        <v>21.748645950632152</v>
      </c>
      <c r="E117">
        <f>MeanOfLogNormalCallOption(E$18,$D$2,$D$3,$D$4,$D$5,$D$6)</f>
        <v>20.877968966504273</v>
      </c>
      <c r="F117">
        <f>MeanOfLogNormalCallOption(F$18,$D$2,$D$3,$D$4,$D$5,$D$6)</f>
        <v>23.21785763747857</v>
      </c>
    </row>
    <row r="118" spans="1:6" x14ac:dyDescent="0.15">
      <c r="A118">
        <v>100</v>
      </c>
      <c r="B118">
        <f>MeanOfLogNormalCallOption(B$18,$D$2,$D$3,$D$4,$D$5,$D$6)</f>
        <v>0.94750894749800452</v>
      </c>
      <c r="C118">
        <f>MeanOfLogNormalCallOption(C$18,$D$2,$D$3,$D$4,$D$5,$D$6)</f>
        <v>26.921971153745798</v>
      </c>
      <c r="D118">
        <f>MeanOfLogNormalCallOption(D$18,$D$2,$D$3,$D$4,$D$5,$D$6)</f>
        <v>23.530619589982336</v>
      </c>
      <c r="E118">
        <f>MeanOfLogNormalCallOption(E$18,$D$2,$D$3,$D$4,$D$5,$D$6)</f>
        <v>22.690560723287177</v>
      </c>
      <c r="F118">
        <f>MeanOfLogNormalCallOption(F$18,$D$2,$D$3,$D$4,$D$5,$D$6)</f>
        <v>23.763164493100085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Distribution</vt:lpstr>
      <vt:lpstr>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森本裕介</dc:creator>
  <cp:lastModifiedBy>森本裕介</cp:lastModifiedBy>
  <dcterms:created xsi:type="dcterms:W3CDTF">2017-03-05T15:42:06Z</dcterms:created>
  <dcterms:modified xsi:type="dcterms:W3CDTF">2017-03-26T22:17:56Z</dcterms:modified>
</cp:coreProperties>
</file>