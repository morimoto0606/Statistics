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im\Documents\GitHub\Statistics\"/>
    </mc:Choice>
  </mc:AlternateContent>
  <bookViews>
    <workbookView xWindow="0" yWindow="0" windowWidth="20220" windowHeight="706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8" i="1" l="1" a="1"/>
  <c r="AA28" i="1" s="1"/>
  <c r="AB4" i="1" a="1"/>
  <c r="AB4" i="1" s="1"/>
  <c r="AA4" i="1" a="1"/>
  <c r="AA4" i="1" s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U4" i="1"/>
  <c r="T34" i="1"/>
  <c r="T33" i="1"/>
  <c r="T32" i="1"/>
  <c r="T31" i="1"/>
  <c r="T30" i="1"/>
  <c r="T29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49" i="1"/>
  <c r="T45" i="1"/>
  <c r="T41" i="1"/>
  <c r="T37" i="1"/>
  <c r="T48" i="1"/>
  <c r="T44" i="1"/>
  <c r="T40" i="1"/>
  <c r="T36" i="1"/>
  <c r="T42" i="1"/>
  <c r="T47" i="1"/>
  <c r="T43" i="1"/>
  <c r="T39" i="1"/>
  <c r="T35" i="1"/>
  <c r="T46" i="1"/>
  <c r="T38" i="1"/>
  <c r="T24" i="1"/>
  <c r="T8" i="1"/>
  <c r="T7" i="1"/>
  <c r="T6" i="1"/>
  <c r="T9" i="1"/>
  <c r="T5" i="1"/>
  <c r="T4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AA43" i="1" l="1"/>
  <c r="AA46" i="1"/>
  <c r="AA30" i="1"/>
  <c r="AA47" i="1"/>
  <c r="AA35" i="1"/>
  <c r="AA33" i="1"/>
  <c r="AA39" i="1"/>
  <c r="AA31" i="1"/>
  <c r="AA42" i="1"/>
  <c r="AA38" i="1"/>
  <c r="AA34" i="1"/>
  <c r="AA49" i="1"/>
  <c r="AA45" i="1"/>
  <c r="AA41" i="1"/>
  <c r="AA37" i="1"/>
  <c r="AA29" i="1"/>
  <c r="AA48" i="1"/>
  <c r="AA44" i="1"/>
  <c r="AA40" i="1"/>
  <c r="AA36" i="1"/>
  <c r="AA32" i="1"/>
  <c r="AB23" i="1"/>
  <c r="AB19" i="1"/>
  <c r="AB15" i="1"/>
  <c r="AB11" i="1"/>
  <c r="AB7" i="1"/>
  <c r="AB22" i="1"/>
  <c r="AB18" i="1"/>
  <c r="AB14" i="1"/>
  <c r="AB10" i="1"/>
  <c r="AB6" i="1"/>
  <c r="AB25" i="1"/>
  <c r="AB21" i="1"/>
  <c r="AB17" i="1"/>
  <c r="AB13" i="1"/>
  <c r="AB9" i="1"/>
  <c r="AB5" i="1"/>
  <c r="AB24" i="1"/>
  <c r="AB20" i="1"/>
  <c r="AB16" i="1"/>
  <c r="AB12" i="1"/>
  <c r="AB8" i="1"/>
  <c r="AA19" i="1"/>
  <c r="AA5" i="1"/>
  <c r="AA23" i="1"/>
  <c r="AA15" i="1"/>
  <c r="AA11" i="1"/>
  <c r="AA7" i="1"/>
  <c r="AA22" i="1"/>
  <c r="AA18" i="1"/>
  <c r="AA14" i="1"/>
  <c r="AA10" i="1"/>
  <c r="AA6" i="1"/>
  <c r="AA25" i="1"/>
  <c r="AA21" i="1"/>
  <c r="AA17" i="1"/>
  <c r="AA13" i="1"/>
  <c r="AA9" i="1"/>
  <c r="AA24" i="1"/>
  <c r="AA20" i="1"/>
  <c r="AA16" i="1"/>
  <c r="AA12" i="1"/>
  <c r="AA8" i="1"/>
  <c r="AA52" i="1" a="1"/>
  <c r="AA82" i="1" s="1"/>
  <c r="K25" i="1"/>
  <c r="J25" i="1"/>
  <c r="I25" i="1"/>
  <c r="H25" i="1"/>
  <c r="K24" i="1"/>
  <c r="J24" i="1"/>
  <c r="I24" i="1"/>
  <c r="H24" i="1"/>
  <c r="K23" i="1"/>
  <c r="J23" i="1"/>
  <c r="I23" i="1"/>
  <c r="H23" i="1"/>
  <c r="K22" i="1"/>
  <c r="J22" i="1"/>
  <c r="I22" i="1"/>
  <c r="H22" i="1"/>
  <c r="K21" i="1"/>
  <c r="J21" i="1"/>
  <c r="I21" i="1"/>
  <c r="H21" i="1"/>
  <c r="K20" i="1"/>
  <c r="J20" i="1"/>
  <c r="I20" i="1"/>
  <c r="H20" i="1"/>
  <c r="K19" i="1"/>
  <c r="J19" i="1"/>
  <c r="I19" i="1"/>
  <c r="H19" i="1"/>
  <c r="K18" i="1"/>
  <c r="J18" i="1"/>
  <c r="I18" i="1"/>
  <c r="H18" i="1"/>
  <c r="K17" i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H14" i="1"/>
  <c r="K13" i="1"/>
  <c r="J13" i="1"/>
  <c r="I13" i="1"/>
  <c r="H13" i="1"/>
  <c r="K12" i="1"/>
  <c r="J12" i="1"/>
  <c r="I12" i="1"/>
  <c r="H12" i="1"/>
  <c r="K11" i="1"/>
  <c r="J11" i="1"/>
  <c r="I11" i="1"/>
  <c r="H11" i="1"/>
  <c r="K10" i="1"/>
  <c r="J10" i="1"/>
  <c r="I10" i="1"/>
  <c r="H10" i="1"/>
  <c r="K9" i="1"/>
  <c r="J9" i="1"/>
  <c r="I9" i="1"/>
  <c r="H9" i="1"/>
  <c r="K8" i="1"/>
  <c r="J8" i="1"/>
  <c r="I8" i="1"/>
  <c r="H8" i="1"/>
  <c r="K7" i="1"/>
  <c r="J7" i="1"/>
  <c r="I7" i="1"/>
  <c r="H7" i="1"/>
  <c r="K6" i="1"/>
  <c r="J6" i="1"/>
  <c r="I6" i="1"/>
  <c r="H6" i="1"/>
  <c r="K5" i="1"/>
  <c r="J5" i="1"/>
  <c r="I5" i="1"/>
  <c r="H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B6" i="1"/>
  <c r="V71" i="1"/>
  <c r="V67" i="1"/>
  <c r="V63" i="1"/>
  <c r="V59" i="1"/>
  <c r="V55" i="1"/>
  <c r="X71" i="1"/>
  <c r="X63" i="1"/>
  <c r="X55" i="1"/>
  <c r="W70" i="1"/>
  <c r="W63" i="1"/>
  <c r="W55" i="1"/>
  <c r="U55" i="1"/>
  <c r="X68" i="1"/>
  <c r="X60" i="1"/>
  <c r="W68" i="1"/>
  <c r="W60" i="1"/>
  <c r="U53" i="1"/>
  <c r="V46" i="1"/>
  <c r="V42" i="1"/>
  <c r="V38" i="1"/>
  <c r="V34" i="1"/>
  <c r="V30" i="1"/>
  <c r="X44" i="1"/>
  <c r="X37" i="1"/>
  <c r="X29" i="1"/>
  <c r="W46" i="1"/>
  <c r="W41" i="1"/>
  <c r="W33" i="1"/>
  <c r="U48" i="1"/>
  <c r="U44" i="1"/>
  <c r="U40" i="1"/>
  <c r="U36" i="1"/>
  <c r="U32" i="1"/>
  <c r="X47" i="1"/>
  <c r="X38" i="1"/>
  <c r="X30" i="1"/>
  <c r="W36" i="1"/>
  <c r="U29" i="1"/>
  <c r="X12" i="1"/>
  <c r="X13" i="1"/>
  <c r="X15" i="1"/>
  <c r="X18" i="1"/>
  <c r="X21" i="1"/>
  <c r="W20" i="1"/>
  <c r="W12" i="1"/>
  <c r="W4" i="1"/>
  <c r="V24" i="1"/>
  <c r="V16" i="1"/>
  <c r="V8" i="1"/>
  <c r="V15" i="1"/>
  <c r="W21" i="1"/>
  <c r="W13" i="1"/>
  <c r="W5" i="1"/>
  <c r="C6" i="1"/>
  <c r="X53" i="1"/>
  <c r="V70" i="1"/>
  <c r="V66" i="1"/>
  <c r="V62" i="1"/>
  <c r="V58" i="1"/>
  <c r="V54" i="1"/>
  <c r="X69" i="1"/>
  <c r="X61" i="1"/>
  <c r="W73" i="1"/>
  <c r="W69" i="1"/>
  <c r="W61" i="1"/>
  <c r="W53" i="1"/>
  <c r="U54" i="1"/>
  <c r="X66" i="1"/>
  <c r="X58" i="1"/>
  <c r="W66" i="1"/>
  <c r="W58" i="1"/>
  <c r="V49" i="1"/>
  <c r="V45" i="1"/>
  <c r="V41" i="1"/>
  <c r="V37" i="1"/>
  <c r="V33" i="1"/>
  <c r="V29" i="1"/>
  <c r="X43" i="1"/>
  <c r="X35" i="1"/>
  <c r="W49" i="1"/>
  <c r="W45" i="1"/>
  <c r="W39" i="1"/>
  <c r="W31" i="1"/>
  <c r="U47" i="1"/>
  <c r="U43" i="1"/>
  <c r="U39" i="1"/>
  <c r="U35" i="1"/>
  <c r="U31" i="1"/>
  <c r="X45" i="1"/>
  <c r="X36" i="1"/>
  <c r="W43" i="1"/>
  <c r="W34" i="1"/>
  <c r="X24" i="1"/>
  <c r="X8" i="1"/>
  <c r="X5" i="1"/>
  <c r="X11" i="1"/>
  <c r="X14" i="1"/>
  <c r="X9" i="1"/>
  <c r="W18" i="1"/>
  <c r="W10" i="1"/>
  <c r="V19" i="1"/>
  <c r="V22" i="1"/>
  <c r="V14" i="1"/>
  <c r="V6" i="1"/>
  <c r="V9" i="1"/>
  <c r="W19" i="1"/>
  <c r="W11" i="1"/>
  <c r="V23" i="1"/>
  <c r="V73" i="1"/>
  <c r="V69" i="1"/>
  <c r="V65" i="1"/>
  <c r="V61" i="1"/>
  <c r="V57" i="1"/>
  <c r="V53" i="1"/>
  <c r="X67" i="1"/>
  <c r="X59" i="1"/>
  <c r="W72" i="1"/>
  <c r="W67" i="1"/>
  <c r="W59" i="1"/>
  <c r="X73" i="1"/>
  <c r="X64" i="1"/>
  <c r="X56" i="1"/>
  <c r="W64" i="1"/>
  <c r="W56" i="1"/>
  <c r="V48" i="1"/>
  <c r="V44" i="1"/>
  <c r="V40" i="1"/>
  <c r="V36" i="1"/>
  <c r="V32" i="1"/>
  <c r="X48" i="1"/>
  <c r="X41" i="1"/>
  <c r="X33" i="1"/>
  <c r="W48" i="1"/>
  <c r="W44" i="1"/>
  <c r="W37" i="1"/>
  <c r="W29" i="1"/>
  <c r="U46" i="1"/>
  <c r="U42" i="1"/>
  <c r="U38" i="1"/>
  <c r="U34" i="1"/>
  <c r="U30" i="1"/>
  <c r="X42" i="1"/>
  <c r="X34" i="1"/>
  <c r="W40" i="1"/>
  <c r="W32" i="1"/>
  <c r="X20" i="1"/>
  <c r="X4" i="1"/>
  <c r="X23" i="1"/>
  <c r="X7" i="1"/>
  <c r="X10" i="1"/>
  <c r="W24" i="1"/>
  <c r="W16" i="1"/>
  <c r="W8" i="1"/>
  <c r="V17" i="1"/>
  <c r="V20" i="1"/>
  <c r="V12" i="1"/>
  <c r="V4" i="1"/>
  <c r="V5" i="1"/>
  <c r="W17" i="1"/>
  <c r="W9" i="1"/>
  <c r="V13" i="1"/>
  <c r="V72" i="1"/>
  <c r="V68" i="1"/>
  <c r="V64" i="1"/>
  <c r="V60" i="1"/>
  <c r="V56" i="1"/>
  <c r="X72" i="1"/>
  <c r="X65" i="1"/>
  <c r="X57" i="1"/>
  <c r="W71" i="1"/>
  <c r="W65" i="1"/>
  <c r="W57" i="1"/>
  <c r="X70" i="1"/>
  <c r="X62" i="1"/>
  <c r="X54" i="1"/>
  <c r="W62" i="1"/>
  <c r="W54" i="1"/>
  <c r="V47" i="1"/>
  <c r="V43" i="1"/>
  <c r="V39" i="1"/>
  <c r="V35" i="1"/>
  <c r="V31" i="1"/>
  <c r="X46" i="1"/>
  <c r="X39" i="1"/>
  <c r="X31" i="1"/>
  <c r="W47" i="1"/>
  <c r="W42" i="1"/>
  <c r="W35" i="1"/>
  <c r="U49" i="1"/>
  <c r="U45" i="1"/>
  <c r="U41" i="1"/>
  <c r="U37" i="1"/>
  <c r="U33" i="1"/>
  <c r="X49" i="1"/>
  <c r="X40" i="1"/>
  <c r="X32" i="1"/>
  <c r="W38" i="1"/>
  <c r="W30" i="1"/>
  <c r="X16" i="1"/>
  <c r="X17" i="1"/>
  <c r="X19" i="1"/>
  <c r="X22" i="1"/>
  <c r="X6" i="1"/>
  <c r="W22" i="1"/>
  <c r="W14" i="1"/>
  <c r="W6" i="1"/>
  <c r="V11" i="1"/>
  <c r="V18" i="1"/>
  <c r="V10" i="1"/>
  <c r="V21" i="1"/>
  <c r="W23" i="1"/>
  <c r="W15" i="1"/>
  <c r="W7" i="1"/>
  <c r="V7" i="1"/>
  <c r="AA67" i="1" l="1"/>
  <c r="AA64" i="1"/>
  <c r="AA69" i="1"/>
  <c r="AA75" i="1"/>
  <c r="AA53" i="1"/>
  <c r="AA66" i="1"/>
  <c r="AA80" i="1"/>
  <c r="AA74" i="1"/>
  <c r="AA58" i="1"/>
  <c r="AA77" i="1"/>
  <c r="AA61" i="1"/>
  <c r="AA71" i="1"/>
  <c r="AA72" i="1"/>
  <c r="AA56" i="1"/>
  <c r="AA55" i="1"/>
  <c r="AA70" i="1"/>
  <c r="AA54" i="1"/>
  <c r="AA73" i="1"/>
  <c r="AA57" i="1"/>
  <c r="AA59" i="1"/>
  <c r="AA68" i="1"/>
  <c r="AA52" i="1"/>
  <c r="AA78" i="1"/>
  <c r="AA62" i="1"/>
  <c r="AA81" i="1"/>
  <c r="AA65" i="1"/>
  <c r="AA79" i="1"/>
  <c r="AA76" i="1"/>
  <c r="AA60" i="1"/>
  <c r="AA63" i="1"/>
  <c r="AD28" i="1" a="1"/>
  <c r="AD49" i="1" s="1"/>
  <c r="AC52" i="1" a="1"/>
  <c r="AC82" i="1" s="1"/>
  <c r="AC28" i="1" a="1"/>
  <c r="AC31" i="1" s="1"/>
  <c r="AD52" i="1" a="1"/>
  <c r="AD82" i="1" s="1"/>
  <c r="AE52" i="1" a="1"/>
  <c r="AE82" i="1" s="1"/>
  <c r="AB28" i="1" a="1"/>
  <c r="AB28" i="1" s="1"/>
  <c r="AE28" i="1" a="1"/>
  <c r="AE31" i="1" s="1"/>
  <c r="AB52" i="1" a="1"/>
  <c r="AB52" i="1" s="1"/>
  <c r="AE79" i="1"/>
  <c r="AE53" i="1"/>
  <c r="AE57" i="1"/>
  <c r="AE61" i="1"/>
  <c r="AE65" i="1"/>
  <c r="AE73" i="1"/>
  <c r="AE77" i="1"/>
  <c r="AE55" i="1"/>
  <c r="AE59" i="1"/>
  <c r="AE63" i="1"/>
  <c r="AE67" i="1"/>
  <c r="AE71" i="1"/>
  <c r="AE75" i="1"/>
  <c r="AE52" i="1"/>
  <c r="AE56" i="1"/>
  <c r="AE60" i="1"/>
  <c r="AE64" i="1"/>
  <c r="AE68" i="1"/>
  <c r="AE72" i="1"/>
  <c r="AE76" i="1"/>
  <c r="AE80" i="1"/>
  <c r="AE54" i="1"/>
  <c r="AE58" i="1"/>
  <c r="AE62" i="1"/>
  <c r="AE66" i="1"/>
  <c r="AE70" i="1"/>
  <c r="AE74" i="1"/>
  <c r="AE78" i="1"/>
  <c r="AE39" i="1"/>
  <c r="AE43" i="1"/>
  <c r="AE36" i="1"/>
  <c r="AE40" i="1"/>
  <c r="AE29" i="1"/>
  <c r="AE33" i="1"/>
  <c r="AE45" i="1"/>
  <c r="AD31" i="1"/>
  <c r="AD35" i="1"/>
  <c r="AD39" i="1"/>
  <c r="AD43" i="1"/>
  <c r="AD47" i="1"/>
  <c r="AD30" i="1"/>
  <c r="AD38" i="1"/>
  <c r="AD46" i="1"/>
  <c r="AD28" i="1"/>
  <c r="AD32" i="1"/>
  <c r="AD36" i="1"/>
  <c r="AD40" i="1"/>
  <c r="AD44" i="1"/>
  <c r="AD48" i="1"/>
  <c r="AD34" i="1"/>
  <c r="AD42" i="1"/>
  <c r="AD29" i="1"/>
  <c r="AD33" i="1"/>
  <c r="AD37" i="1"/>
  <c r="AD41" i="1"/>
  <c r="AD45" i="1"/>
  <c r="AC39" i="1"/>
  <c r="AC43" i="1"/>
  <c r="AC4" i="1" a="1"/>
  <c r="AC4" i="1" s="1"/>
  <c r="AD4" i="1" a="1"/>
  <c r="AD4" i="1" s="1"/>
  <c r="AE4" i="1" a="1"/>
  <c r="AE25" i="1" s="1"/>
  <c r="AC5" i="1"/>
  <c r="AC24" i="1"/>
  <c r="AC7" i="1" l="1"/>
  <c r="AB36" i="1"/>
  <c r="AB35" i="1"/>
  <c r="AB41" i="1"/>
  <c r="AB30" i="1"/>
  <c r="AB46" i="1"/>
  <c r="AC66" i="1"/>
  <c r="AC80" i="1"/>
  <c r="AC64" i="1"/>
  <c r="AC69" i="1"/>
  <c r="AC53" i="1"/>
  <c r="AC71" i="1"/>
  <c r="AC55" i="1"/>
  <c r="AB32" i="1"/>
  <c r="AB48" i="1"/>
  <c r="AB37" i="1"/>
  <c r="AB39" i="1"/>
  <c r="AB42" i="1"/>
  <c r="AB47" i="1"/>
  <c r="AC70" i="1"/>
  <c r="AC54" i="1"/>
  <c r="AC68" i="1"/>
  <c r="AC52" i="1"/>
  <c r="AC73" i="1"/>
  <c r="AC57" i="1"/>
  <c r="AC75" i="1"/>
  <c r="AC59" i="1"/>
  <c r="AB40" i="1"/>
  <c r="AB29" i="1"/>
  <c r="AB45" i="1"/>
  <c r="AB34" i="1"/>
  <c r="AB31" i="1"/>
  <c r="AC78" i="1"/>
  <c r="AC62" i="1"/>
  <c r="AC76" i="1"/>
  <c r="AC60" i="1"/>
  <c r="AC81" i="1"/>
  <c r="AC65" i="1"/>
  <c r="AC67" i="1"/>
  <c r="AC25" i="1"/>
  <c r="AB44" i="1"/>
  <c r="AB33" i="1"/>
  <c r="AB49" i="1"/>
  <c r="AB38" i="1"/>
  <c r="AB43" i="1"/>
  <c r="AC74" i="1"/>
  <c r="AC58" i="1"/>
  <c r="AC72" i="1"/>
  <c r="AC56" i="1"/>
  <c r="AE81" i="1"/>
  <c r="AC77" i="1"/>
  <c r="AC61" i="1"/>
  <c r="AC79" i="1"/>
  <c r="AC63" i="1"/>
  <c r="AD66" i="1"/>
  <c r="AD76" i="1"/>
  <c r="AD67" i="1"/>
  <c r="AE69" i="1"/>
  <c r="AD60" i="1"/>
  <c r="AD81" i="1"/>
  <c r="AD6" i="1"/>
  <c r="AD65" i="1"/>
  <c r="AB56" i="1"/>
  <c r="AB72" i="1"/>
  <c r="AB57" i="1"/>
  <c r="AB73" i="1"/>
  <c r="AB58" i="1"/>
  <c r="AB74" i="1"/>
  <c r="AB59" i="1"/>
  <c r="AB75" i="1"/>
  <c r="AC8" i="1"/>
  <c r="AC10" i="1"/>
  <c r="AC11" i="1"/>
  <c r="AC9" i="1"/>
  <c r="AD12" i="1"/>
  <c r="AD7" i="1"/>
  <c r="AC16" i="1"/>
  <c r="AC14" i="1"/>
  <c r="AC15" i="1"/>
  <c r="AC17" i="1"/>
  <c r="AD24" i="1"/>
  <c r="AD23" i="1"/>
  <c r="AC35" i="1"/>
  <c r="AE41" i="1"/>
  <c r="AE48" i="1"/>
  <c r="AE32" i="1"/>
  <c r="AE35" i="1"/>
  <c r="AB64" i="1"/>
  <c r="AB80" i="1"/>
  <c r="AB65" i="1"/>
  <c r="AB81" i="1"/>
  <c r="AB66" i="1"/>
  <c r="AB82" i="1"/>
  <c r="AB67" i="1"/>
  <c r="AD74" i="1"/>
  <c r="AD58" i="1"/>
  <c r="AD68" i="1"/>
  <c r="AD52" i="1"/>
  <c r="AD75" i="1"/>
  <c r="AD59" i="1"/>
  <c r="AD73" i="1"/>
  <c r="AD57" i="1"/>
  <c r="AB60" i="1"/>
  <c r="AB76" i="1"/>
  <c r="AB61" i="1"/>
  <c r="AB77" i="1"/>
  <c r="AB62" i="1"/>
  <c r="AB78" i="1"/>
  <c r="AB63" i="1"/>
  <c r="AB79" i="1"/>
  <c r="AD78" i="1"/>
  <c r="AD62" i="1"/>
  <c r="AD72" i="1"/>
  <c r="AD56" i="1"/>
  <c r="AD79" i="1"/>
  <c r="AD63" i="1"/>
  <c r="AD77" i="1"/>
  <c r="AD61" i="1"/>
  <c r="AC20" i="1"/>
  <c r="AC18" i="1"/>
  <c r="AC23" i="1"/>
  <c r="AC21" i="1"/>
  <c r="AD17" i="1"/>
  <c r="AE37" i="1"/>
  <c r="AE44" i="1"/>
  <c r="AE47" i="1"/>
  <c r="AB68" i="1"/>
  <c r="AB53" i="1"/>
  <c r="AB69" i="1"/>
  <c r="AB54" i="1"/>
  <c r="AB70" i="1"/>
  <c r="AB55" i="1"/>
  <c r="AB71" i="1"/>
  <c r="AD70" i="1"/>
  <c r="AD54" i="1"/>
  <c r="AD80" i="1"/>
  <c r="AD64" i="1"/>
  <c r="AD71" i="1"/>
  <c r="AD55" i="1"/>
  <c r="AD69" i="1"/>
  <c r="AD53" i="1"/>
  <c r="AE49" i="1"/>
  <c r="AE46" i="1"/>
  <c r="AE30" i="1"/>
  <c r="AE42" i="1"/>
  <c r="AE28" i="1"/>
  <c r="AE38" i="1"/>
  <c r="AE34" i="1"/>
  <c r="AC47" i="1"/>
  <c r="AC49" i="1"/>
  <c r="AC44" i="1"/>
  <c r="AC38" i="1"/>
  <c r="AC33" i="1"/>
  <c r="AC28" i="1"/>
  <c r="AC48" i="1"/>
  <c r="AC42" i="1"/>
  <c r="AC37" i="1"/>
  <c r="AC32" i="1"/>
  <c r="AC46" i="1"/>
  <c r="AC41" i="1"/>
  <c r="AC36" i="1"/>
  <c r="AC30" i="1"/>
  <c r="AC45" i="1"/>
  <c r="AC40" i="1"/>
  <c r="AC34" i="1"/>
  <c r="AC29" i="1"/>
  <c r="AD11" i="1"/>
  <c r="AD10" i="1"/>
  <c r="AC12" i="1"/>
  <c r="AC6" i="1"/>
  <c r="AC22" i="1"/>
  <c r="AC19" i="1"/>
  <c r="AC13" i="1"/>
  <c r="AD8" i="1"/>
  <c r="AD13" i="1"/>
  <c r="AD22" i="1"/>
  <c r="AD16" i="1"/>
  <c r="AD5" i="1"/>
  <c r="AD21" i="1"/>
  <c r="AD14" i="1"/>
  <c r="AD15" i="1"/>
  <c r="AD20" i="1"/>
  <c r="AD9" i="1"/>
  <c r="AD25" i="1"/>
  <c r="AD18" i="1"/>
  <c r="AD19" i="1"/>
  <c r="AE17" i="1"/>
  <c r="AE18" i="1"/>
  <c r="AE16" i="1"/>
  <c r="AE22" i="1"/>
  <c r="AE19" i="1"/>
  <c r="AE13" i="1"/>
  <c r="AE10" i="1"/>
  <c r="AE12" i="1"/>
  <c r="AE14" i="1"/>
  <c r="AE15" i="1"/>
  <c r="AE9" i="1"/>
  <c r="AE24" i="1"/>
  <c r="AE8" i="1"/>
  <c r="AE6" i="1"/>
  <c r="AE11" i="1"/>
  <c r="AE21" i="1"/>
  <c r="AE5" i="1"/>
  <c r="AE20" i="1"/>
  <c r="AE4" i="1"/>
  <c r="AE23" i="1"/>
  <c r="AE7" i="1"/>
</calcChain>
</file>

<file path=xl/sharedStrings.xml><?xml version="1.0" encoding="utf-8"?>
<sst xmlns="http://schemas.openxmlformats.org/spreadsheetml/2006/main" count="3" uniqueCount="3">
  <si>
    <t>x</t>
    <phoneticPr fontId="2"/>
  </si>
  <si>
    <t>P(x&lt;a)=e-la</t>
    <phoneticPr fontId="2"/>
  </si>
  <si>
    <t>Gauss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</si>
</sst>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正規分布と</a:t>
            </a:r>
            <a:r>
              <a:rPr lang="en-US" altLang="ja-JP"/>
              <a:t>t</a:t>
            </a:r>
            <a:r>
              <a:rPr lang="en-US" altLang="ja-JP" baseline="0"/>
              <a:t> </a:t>
            </a:r>
            <a:r>
              <a:rPr lang="ja-JP" altLang="en-US" baseline="0"/>
              <a:t>分布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Sheet1!$G$4</c:f>
              <c:strCache>
                <c:ptCount val="1"/>
                <c:pt idx="0">
                  <c:v>Gauss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Sheet1!$G$5:$G$25</c:f>
              <c:numCache>
                <c:formatCode>General</c:formatCode>
                <c:ptCount val="21"/>
                <c:pt idx="0">
                  <c:v>1.4867195147342977E-6</c:v>
                </c:pt>
                <c:pt idx="1">
                  <c:v>1.5983741106905475E-5</c:v>
                </c:pt>
                <c:pt idx="2">
                  <c:v>1.3383022576488537E-4</c:v>
                </c:pt>
                <c:pt idx="3">
                  <c:v>8.7268269504576015E-4</c:v>
                </c:pt>
                <c:pt idx="4">
                  <c:v>4.4318484119380075E-3</c:v>
                </c:pt>
                <c:pt idx="5">
                  <c:v>1.752830049356854E-2</c:v>
                </c:pt>
                <c:pt idx="6">
                  <c:v>5.3990966513188063E-2</c:v>
                </c:pt>
                <c:pt idx="7">
                  <c:v>0.12951759566589174</c:v>
                </c:pt>
                <c:pt idx="8">
                  <c:v>0.24197072451914337</c:v>
                </c:pt>
                <c:pt idx="9">
                  <c:v>0.35206532676429952</c:v>
                </c:pt>
                <c:pt idx="10">
                  <c:v>0.3989422804014327</c:v>
                </c:pt>
                <c:pt idx="11">
                  <c:v>0.35206532676429952</c:v>
                </c:pt>
                <c:pt idx="12">
                  <c:v>0.24197072451914337</c:v>
                </c:pt>
                <c:pt idx="13">
                  <c:v>0.12951759566589174</c:v>
                </c:pt>
                <c:pt idx="14">
                  <c:v>5.3990966513188063E-2</c:v>
                </c:pt>
                <c:pt idx="15">
                  <c:v>1.752830049356854E-2</c:v>
                </c:pt>
                <c:pt idx="16">
                  <c:v>4.4318484119380075E-3</c:v>
                </c:pt>
                <c:pt idx="17">
                  <c:v>8.7268269504576015E-4</c:v>
                </c:pt>
                <c:pt idx="18">
                  <c:v>1.3383022576488537E-4</c:v>
                </c:pt>
                <c:pt idx="19">
                  <c:v>1.5983741106905475E-5</c:v>
                </c:pt>
                <c:pt idx="20">
                  <c:v>1.4867195147342977E-6</c:v>
                </c:pt>
              </c:numCache>
            </c:numRef>
          </c:val>
        </c:ser>
        <c:ser>
          <c:idx val="1"/>
          <c:order val="1"/>
          <c:tx>
            <c:strRef>
              <c:f>Sheet1!$H$4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Sheet1!$H$5:$H$25</c:f>
              <c:numCache>
                <c:formatCode>General</c:formatCode>
                <c:ptCount val="21"/>
                <c:pt idx="0">
                  <c:v>3.960010564637988E-4</c:v>
                </c:pt>
                <c:pt idx="1">
                  <c:v>8.8324462669310902E-4</c:v>
                </c:pt>
                <c:pt idx="2">
                  <c:v>2.0310339110412167E-3</c:v>
                </c:pt>
                <c:pt idx="3">
                  <c:v>4.7836071267013227E-3</c:v>
                </c:pt>
                <c:pt idx="4">
                  <c:v>1.1400549464542524E-2</c:v>
                </c:pt>
                <c:pt idx="5">
                  <c:v>2.6938727628244463E-2</c:v>
                </c:pt>
                <c:pt idx="6">
                  <c:v>6.1145766321218181E-2</c:v>
                </c:pt>
                <c:pt idx="7">
                  <c:v>0.12744479428709171</c:v>
                </c:pt>
                <c:pt idx="8">
                  <c:v>0.23036198922913867</c:v>
                </c:pt>
                <c:pt idx="9">
                  <c:v>0.33969513635207788</c:v>
                </c:pt>
                <c:pt idx="10">
                  <c:v>0.38910838396603115</c:v>
                </c:pt>
                <c:pt idx="11">
                  <c:v>0.33969513635207788</c:v>
                </c:pt>
                <c:pt idx="12">
                  <c:v>0.23036198922913867</c:v>
                </c:pt>
                <c:pt idx="13">
                  <c:v>0.12744479428709171</c:v>
                </c:pt>
                <c:pt idx="14">
                  <c:v>6.1145766321218181E-2</c:v>
                </c:pt>
                <c:pt idx="15">
                  <c:v>2.6938727628244463E-2</c:v>
                </c:pt>
                <c:pt idx="16">
                  <c:v>1.1400549464542524E-2</c:v>
                </c:pt>
                <c:pt idx="17">
                  <c:v>4.7836071267013227E-3</c:v>
                </c:pt>
                <c:pt idx="18">
                  <c:v>2.0310339110412167E-3</c:v>
                </c:pt>
                <c:pt idx="19">
                  <c:v>8.8324462669310902E-4</c:v>
                </c:pt>
                <c:pt idx="20">
                  <c:v>3.960010564637988E-4</c:v>
                </c:pt>
              </c:numCache>
            </c:numRef>
          </c:val>
        </c:ser>
        <c:ser>
          <c:idx val="2"/>
          <c:order val="2"/>
          <c:tx>
            <c:strRef>
              <c:f>Sheet1!$I$4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Sheet1!$I$5:$I$25</c:f>
              <c:numCache>
                <c:formatCode>General</c:formatCode>
                <c:ptCount val="21"/>
                <c:pt idx="0">
                  <c:v>3.2888902052922403E-5</c:v>
                </c:pt>
                <c:pt idx="1">
                  <c:v>1.3337119368780277E-4</c:v>
                </c:pt>
                <c:pt idx="2">
                  <c:v>5.2471644019740798E-4</c:v>
                </c:pt>
                <c:pt idx="3">
                  <c:v>1.9604555808020938E-3</c:v>
                </c:pt>
                <c:pt idx="4">
                  <c:v>6.7790627460931003E-3</c:v>
                </c:pt>
                <c:pt idx="5">
                  <c:v>2.1057019220621639E-2</c:v>
                </c:pt>
                <c:pt idx="6">
                  <c:v>5.6852275047197962E-2</c:v>
                </c:pt>
                <c:pt idx="7">
                  <c:v>0.12896160173967178</c:v>
                </c:pt>
                <c:pt idx="8">
                  <c:v>0.23799334232287983</c:v>
                </c:pt>
                <c:pt idx="9">
                  <c:v>0.34787857969720454</c:v>
                </c:pt>
                <c:pt idx="10">
                  <c:v>0.39563218489409779</c:v>
                </c:pt>
                <c:pt idx="11">
                  <c:v>0.34787857969720454</c:v>
                </c:pt>
                <c:pt idx="12">
                  <c:v>0.23799334232287983</c:v>
                </c:pt>
                <c:pt idx="13">
                  <c:v>0.12896160173967178</c:v>
                </c:pt>
                <c:pt idx="14">
                  <c:v>5.6852275047197962E-2</c:v>
                </c:pt>
                <c:pt idx="15">
                  <c:v>2.1057019220621639E-2</c:v>
                </c:pt>
                <c:pt idx="16">
                  <c:v>6.7790627460931003E-3</c:v>
                </c:pt>
                <c:pt idx="17">
                  <c:v>1.9604555808020938E-3</c:v>
                </c:pt>
                <c:pt idx="18">
                  <c:v>5.2471644019740798E-4</c:v>
                </c:pt>
                <c:pt idx="19">
                  <c:v>1.3337119368780277E-4</c:v>
                </c:pt>
                <c:pt idx="20">
                  <c:v>3.2888902052922403E-5</c:v>
                </c:pt>
              </c:numCache>
            </c:numRef>
          </c:val>
        </c:ser>
        <c:ser>
          <c:idx val="3"/>
          <c:order val="3"/>
          <c:tx>
            <c:strRef>
              <c:f>Sheet1!$J$4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Sheet1!$J$5:$J$25</c:f>
              <c:numCache>
                <c:formatCode>General</c:formatCode>
                <c:ptCount val="21"/>
                <c:pt idx="0">
                  <c:v>1.2835465750193539E-5</c:v>
                </c:pt>
                <c:pt idx="1">
                  <c:v>6.8075755523533101E-5</c:v>
                </c:pt>
                <c:pt idx="2">
                  <c:v>3.3427468818049395E-4</c:v>
                </c:pt>
                <c:pt idx="3">
                  <c:v>1.4856628942363083E-3</c:v>
                </c:pt>
                <c:pt idx="4">
                  <c:v>5.8310605583565224E-3</c:v>
                </c:pt>
                <c:pt idx="5">
                  <c:v>1.9694702081706587E-2</c:v>
                </c:pt>
                <c:pt idx="6">
                  <c:v>5.5774151649800992E-2</c:v>
                </c:pt>
                <c:pt idx="7">
                  <c:v>0.12920321834422047</c:v>
                </c:pt>
                <c:pt idx="8">
                  <c:v>0.2395710620586905</c:v>
                </c:pt>
                <c:pt idx="9">
                  <c:v>0.34954586046517899</c:v>
                </c:pt>
                <c:pt idx="10">
                  <c:v>0.3969526797311142</c:v>
                </c:pt>
                <c:pt idx="11">
                  <c:v>0.34954586046517899</c:v>
                </c:pt>
                <c:pt idx="12">
                  <c:v>0.2395710620586905</c:v>
                </c:pt>
                <c:pt idx="13">
                  <c:v>0.12920321834422047</c:v>
                </c:pt>
                <c:pt idx="14">
                  <c:v>5.5774151649800992E-2</c:v>
                </c:pt>
                <c:pt idx="15">
                  <c:v>1.9694702081706587E-2</c:v>
                </c:pt>
                <c:pt idx="16">
                  <c:v>5.8310605583565224E-3</c:v>
                </c:pt>
                <c:pt idx="17">
                  <c:v>1.4856628942363083E-3</c:v>
                </c:pt>
                <c:pt idx="18">
                  <c:v>3.3427468818049395E-4</c:v>
                </c:pt>
                <c:pt idx="19">
                  <c:v>6.8075755523533101E-5</c:v>
                </c:pt>
                <c:pt idx="20">
                  <c:v>1.2835465750193539E-5</c:v>
                </c:pt>
              </c:numCache>
            </c:numRef>
          </c:val>
        </c:ser>
        <c:ser>
          <c:idx val="4"/>
          <c:order val="4"/>
          <c:tx>
            <c:strRef>
              <c:f>Sheet1!$K$4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Sheet1!$K$5:$K$25</c:f>
              <c:numCache>
                <c:formatCode>General</c:formatCode>
                <c:ptCount val="21"/>
                <c:pt idx="0">
                  <c:v>5.0800582347272843E-6</c:v>
                </c:pt>
                <c:pt idx="1">
                  <c:v>3.5935819475144766E-5</c:v>
                </c:pt>
                <c:pt idx="2">
                  <c:v>2.2115455654062892E-4</c:v>
                </c:pt>
                <c:pt idx="3">
                  <c:v>1.1625554838789979E-3</c:v>
                </c:pt>
                <c:pt idx="4">
                  <c:v>5.1260897023202509E-3</c:v>
                </c:pt>
                <c:pt idx="5">
                  <c:v>1.8630003746412823E-2</c:v>
                </c:pt>
                <c:pt idx="6">
                  <c:v>5.490864329540969E-2</c:v>
                </c:pt>
                <c:pt idx="7">
                  <c:v>0.12936799740683039</c:v>
                </c:pt>
                <c:pt idx="8">
                  <c:v>0.240765896928546</c:v>
                </c:pt>
                <c:pt idx="9">
                  <c:v>0.35080283339233032</c:v>
                </c:pt>
                <c:pt idx="10">
                  <c:v>0.39794618693589384</c:v>
                </c:pt>
                <c:pt idx="11">
                  <c:v>0.35080283339233032</c:v>
                </c:pt>
                <c:pt idx="12">
                  <c:v>0.240765896928546</c:v>
                </c:pt>
                <c:pt idx="13">
                  <c:v>0.12936799740683039</c:v>
                </c:pt>
                <c:pt idx="14">
                  <c:v>5.490864329540969E-2</c:v>
                </c:pt>
                <c:pt idx="15">
                  <c:v>1.8630003746412823E-2</c:v>
                </c:pt>
                <c:pt idx="16">
                  <c:v>5.1260897023202509E-3</c:v>
                </c:pt>
                <c:pt idx="17">
                  <c:v>1.1625554838789979E-3</c:v>
                </c:pt>
                <c:pt idx="18">
                  <c:v>2.2115455654062892E-4</c:v>
                </c:pt>
                <c:pt idx="19">
                  <c:v>3.5935819475144766E-5</c:v>
                </c:pt>
                <c:pt idx="20">
                  <c:v>5.0800582347272843E-6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070856"/>
        <c:axId val="147074384"/>
      </c:barChart>
      <c:catAx>
        <c:axId val="14707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074384"/>
        <c:crosses val="autoZero"/>
        <c:auto val="1"/>
        <c:lblAlgn val="ctr"/>
        <c:lblOffset val="100"/>
        <c:noMultiLvlLbl val="0"/>
      </c:catAx>
      <c:valAx>
        <c:axId val="1470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07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指数分布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Sheet1!$AA$3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Sheet1!$Z$4:$Z$24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Sheet1!$AA$4:$AA$24</c:f>
              <c:numCache>
                <c:formatCode>General</c:formatCode>
                <c:ptCount val="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Sheet1!$AB$3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Sheet1!$Z$4:$Z$24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Sheet1!$AB$4:$AB$24</c:f>
              <c:numCache>
                <c:formatCode>General</c:formatCode>
                <c:ptCount val="21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</c:ser>
        <c:ser>
          <c:idx val="2"/>
          <c:order val="2"/>
          <c:tx>
            <c:strRef>
              <c:f>Sheet1!$AC$3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Sheet1!$Z$4:$Z$24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Sheet1!$AC$4:$AC$24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Sheet1!$AD$3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Sheet1!$Z$4:$Z$24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Sheet1!$AD$4:$AD$24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Sheet1!$AE$3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Sheet1!$Z$4:$Z$24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Sheet1!$AE$4:$AE$24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593824"/>
        <c:axId val="148595784"/>
      </c:barChart>
      <c:catAx>
        <c:axId val="14859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5784"/>
        <c:crosses val="autoZero"/>
        <c:auto val="1"/>
        <c:lblAlgn val="ctr"/>
        <c:lblOffset val="100"/>
        <c:noMultiLvlLbl val="0"/>
      </c:catAx>
      <c:valAx>
        <c:axId val="14859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対数正規分布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Sheet1!$AA$27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Sheet1!$Z$28:$Z$48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Sheet1!$AA$28:$AA$48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</c:ser>
        <c:ser>
          <c:idx val="1"/>
          <c:order val="1"/>
          <c:tx>
            <c:strRef>
              <c:f>Sheet1!$AB$27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Sheet1!$Z$28:$Z$48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Sheet1!$AB$28:$AB$48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Sheet1!$AC$27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Sheet1!$Z$28:$Z$48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Sheet1!$AC$28:$AC$48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Sheet1!$AD$27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Sheet1!$Z$28:$Z$48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Sheet1!$AD$28:$AD$48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9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Sheet1!$AE$27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Sheet1!$Z$28:$Z$48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Sheet1!$AE$28:$AE$48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19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591472"/>
        <c:axId val="148596960"/>
      </c:barChart>
      <c:catAx>
        <c:axId val="14859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6960"/>
        <c:crosses val="autoZero"/>
        <c:auto val="1"/>
        <c:lblAlgn val="ctr"/>
        <c:lblOffset val="100"/>
        <c:noMultiLvlLbl val="0"/>
      </c:catAx>
      <c:valAx>
        <c:axId val="1485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59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Call</a:t>
            </a:r>
            <a:r>
              <a:rPr lang="en-US" altLang="ja-JP" baseline="0"/>
              <a:t> Option Price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Sheet1!$AA$3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Sheet1!$Z$52:$Z$75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Sheet1!$AA$52:$AA$75</c:f>
              <c:numCache>
                <c:formatCode>General</c:formatCode>
                <c:ptCount val="24"/>
                <c:pt idx="0">
                  <c:v>11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Sheet1!$AB$3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Sheet1!$Z$52:$Z$75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Sheet1!$AB$52:$AB$75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Sheet1!$AC$3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Sheet1!$Z$52:$Z$75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Sheet1!$AC$52:$AC$75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Sheet1!$AD$3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Sheet1!$Z$52:$Z$75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Sheet1!$AD$52:$AD$75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8</c:v>
                </c:pt>
                <c:pt idx="12">
                  <c:v>6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Sheet1!$AE$3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Sheet1!$Z$52:$Z$75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</c:numCache>
            </c:numRef>
          </c:cat>
          <c:val>
            <c:numRef>
              <c:f>Sheet1!$AE$52:$AE$75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12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432032"/>
        <c:axId val="212438304"/>
      </c:barChart>
      <c:catAx>
        <c:axId val="2124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438304"/>
        <c:crosses val="autoZero"/>
        <c:auto val="1"/>
        <c:lblAlgn val="ctr"/>
        <c:lblOffset val="100"/>
        <c:noMultiLvlLbl val="0"/>
      </c:catAx>
      <c:valAx>
        <c:axId val="21243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4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</xdr:row>
      <xdr:rowOff>114300</xdr:rowOff>
    </xdr:from>
    <xdr:to>
      <xdr:col>18</xdr:col>
      <xdr:colOff>466725</xdr:colOff>
      <xdr:row>18</xdr:row>
      <xdr:rowOff>114300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219075</xdr:colOff>
      <xdr:row>6</xdr:row>
      <xdr:rowOff>66675</xdr:rowOff>
    </xdr:from>
    <xdr:to>
      <xdr:col>30</xdr:col>
      <xdr:colOff>676275</xdr:colOff>
      <xdr:row>22</xdr:row>
      <xdr:rowOff>66675</xdr:rowOff>
    </xdr:to>
    <xdr:graphicFrame macro="">
      <xdr:nvGraphicFramePr>
        <xdr:cNvPr id="12" name="グラフ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28575</xdr:colOff>
      <xdr:row>28</xdr:row>
      <xdr:rowOff>123825</xdr:rowOff>
    </xdr:from>
    <xdr:to>
      <xdr:col>31</xdr:col>
      <xdr:colOff>485775</xdr:colOff>
      <xdr:row>44</xdr:row>
      <xdr:rowOff>123825</xdr:rowOff>
    </xdr:to>
    <xdr:graphicFrame macro="">
      <xdr:nvGraphicFramePr>
        <xdr:cNvPr id="13" name="グラフ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54</xdr:row>
      <xdr:rowOff>0</xdr:rowOff>
    </xdr:from>
    <xdr:to>
      <xdr:col>32</xdr:col>
      <xdr:colOff>457200</xdr:colOff>
      <xdr:row>70</xdr:row>
      <xdr:rowOff>0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82"/>
  <sheetViews>
    <sheetView tabSelected="1" topLeftCell="R55" workbookViewId="0">
      <selection activeCell="U79" sqref="U79"/>
    </sheetView>
  </sheetViews>
  <sheetFormatPr defaultRowHeight="13.5" x14ac:dyDescent="0.15"/>
  <cols>
    <col min="7" max="8" width="12.75" bestFit="1" customWidth="1"/>
  </cols>
  <sheetData>
    <row r="3" spans="2:31" x14ac:dyDescent="0.15">
      <c r="T3">
        <v>1</v>
      </c>
      <c r="U3">
        <v>10</v>
      </c>
      <c r="V3">
        <v>100</v>
      </c>
      <c r="W3">
        <v>1000</v>
      </c>
      <c r="X3">
        <v>5000</v>
      </c>
      <c r="AA3">
        <v>1</v>
      </c>
      <c r="AB3">
        <v>10</v>
      </c>
      <c r="AC3">
        <v>100</v>
      </c>
      <c r="AD3">
        <v>1000</v>
      </c>
      <c r="AE3">
        <v>5000</v>
      </c>
    </row>
    <row r="4" spans="2:31" x14ac:dyDescent="0.15">
      <c r="B4" t="s">
        <v>0</v>
      </c>
      <c r="C4" t="s">
        <v>1</v>
      </c>
      <c r="G4" t="s">
        <v>2</v>
      </c>
      <c r="H4">
        <v>10</v>
      </c>
      <c r="I4">
        <v>30</v>
      </c>
      <c r="J4">
        <v>50</v>
      </c>
      <c r="K4">
        <v>100</v>
      </c>
      <c r="T4">
        <f>MeanOfExp(T$3,2)</f>
        <v>1.2235592116798328</v>
      </c>
      <c r="U4">
        <f>MeanOfExp(U$3,2)</f>
        <v>0.55022747293171204</v>
      </c>
      <c r="V4">
        <f t="shared" ref="V4:X4" si="0">MeanOfExp(V$3,2)</f>
        <v>0.54228672364957686</v>
      </c>
      <c r="W4">
        <f t="shared" si="0"/>
        <v>0.52502599069568201</v>
      </c>
      <c r="X4">
        <f t="shared" si="0"/>
        <v>0.49822344702603477</v>
      </c>
      <c r="Z4">
        <v>0.4</v>
      </c>
      <c r="AA4">
        <f t="array" ref="AA4:AA25">FREQUENCY(T4:T24,$Z$4:$Z$24)</f>
        <v>3</v>
      </c>
      <c r="AB4">
        <f t="array" ref="AB4:AB25">FREQUENCY(U4:U24,$Z$4:$Z$24)</f>
        <v>7</v>
      </c>
      <c r="AC4">
        <f t="array" ref="AC4:AC25">FREQUENCY(V4:V24,$Z$4:$Z$24)</f>
        <v>0</v>
      </c>
      <c r="AD4">
        <f t="array" ref="AD4:AD25">FREQUENCY(W4:W24,$Z$4:$Z$24)</f>
        <v>0</v>
      </c>
      <c r="AE4">
        <f t="array" ref="AE4:AE25">FREQUENCY(X4:X24,$Z$4:$Z$24)</f>
        <v>0</v>
      </c>
    </row>
    <row r="5" spans="2:31" x14ac:dyDescent="0.15">
      <c r="F5">
        <v>-5</v>
      </c>
      <c r="G5">
        <f t="shared" ref="G5:G25" si="1">_xlfn.NORM.DIST(F5,0,1,FALSE)</f>
        <v>1.4867195147342977E-6</v>
      </c>
      <c r="H5">
        <f>_xlfn.T.DIST($F5,H$4,FALSE)</f>
        <v>3.960010564637988E-4</v>
      </c>
      <c r="I5">
        <f t="shared" ref="I5:K25" si="2">_xlfn.T.DIST($F5,I$4,FALSE)</f>
        <v>3.2888902052922403E-5</v>
      </c>
      <c r="J5">
        <f t="shared" si="2"/>
        <v>1.2835465750193539E-5</v>
      </c>
      <c r="K5">
        <f t="shared" si="2"/>
        <v>5.0800582347272843E-6</v>
      </c>
      <c r="T5">
        <f t="shared" ref="T5:X24" si="3">MeanOfExp(T$3,2)</f>
        <v>1.0038798990469762</v>
      </c>
      <c r="U5">
        <f t="shared" si="3"/>
        <v>0.34497152301228956</v>
      </c>
      <c r="V5">
        <f t="shared" si="3"/>
        <v>0.43499293908813913</v>
      </c>
      <c r="W5">
        <f t="shared" si="3"/>
        <v>0.50594244523741461</v>
      </c>
      <c r="X5">
        <f t="shared" si="3"/>
        <v>0.49783820367710985</v>
      </c>
      <c r="Z5">
        <v>0.41</v>
      </c>
      <c r="AA5">
        <v>0</v>
      </c>
      <c r="AB5">
        <v>1</v>
      </c>
      <c r="AC5">
        <v>0</v>
      </c>
      <c r="AD5">
        <v>0</v>
      </c>
      <c r="AE5">
        <v>0</v>
      </c>
    </row>
    <row r="6" spans="2:31" x14ac:dyDescent="0.15">
      <c r="B6">
        <f ca="1">RAND()</f>
        <v>0.48670887495245685</v>
      </c>
      <c r="C6" s="1">
        <f>RandExpDist(0.1)</f>
        <v>17.587964157035028</v>
      </c>
      <c r="F6">
        <v>-4.5</v>
      </c>
      <c r="G6">
        <f t="shared" si="1"/>
        <v>1.5983741106905475E-5</v>
      </c>
      <c r="H6">
        <f t="shared" ref="H6:H25" si="4">_xlfn.T.DIST($F6,H$4,FALSE)</f>
        <v>8.8324462669310902E-4</v>
      </c>
      <c r="I6">
        <f t="shared" si="2"/>
        <v>1.3337119368780277E-4</v>
      </c>
      <c r="J6">
        <f t="shared" si="2"/>
        <v>6.8075755523533101E-5</v>
      </c>
      <c r="K6">
        <f t="shared" si="2"/>
        <v>3.5935819475144766E-5</v>
      </c>
      <c r="T6">
        <f t="shared" si="3"/>
        <v>0.82255311773435946</v>
      </c>
      <c r="U6">
        <f t="shared" si="3"/>
        <v>0.40161916416463317</v>
      </c>
      <c r="V6">
        <f t="shared" si="3"/>
        <v>0.48853327573770555</v>
      </c>
      <c r="W6">
        <f t="shared" si="3"/>
        <v>0.51931485670141431</v>
      </c>
      <c r="X6">
        <f t="shared" si="3"/>
        <v>0.49644382665482145</v>
      </c>
      <c r="Z6">
        <v>0.42</v>
      </c>
      <c r="AA6">
        <v>0</v>
      </c>
      <c r="AB6">
        <v>0</v>
      </c>
      <c r="AC6">
        <v>0</v>
      </c>
      <c r="AD6">
        <v>0</v>
      </c>
      <c r="AE6">
        <v>0</v>
      </c>
    </row>
    <row r="7" spans="2:31" x14ac:dyDescent="0.15">
      <c r="F7">
        <v>-4</v>
      </c>
      <c r="G7">
        <f t="shared" si="1"/>
        <v>1.3383022576488537E-4</v>
      </c>
      <c r="H7">
        <f t="shared" si="4"/>
        <v>2.0310339110412167E-3</v>
      </c>
      <c r="I7">
        <f t="shared" si="2"/>
        <v>5.2471644019740798E-4</v>
      </c>
      <c r="J7">
        <f t="shared" si="2"/>
        <v>3.3427468818049395E-4</v>
      </c>
      <c r="K7">
        <f t="shared" si="2"/>
        <v>2.2115455654062892E-4</v>
      </c>
      <c r="T7">
        <f t="shared" si="3"/>
        <v>0.60708375317144503</v>
      </c>
      <c r="U7">
        <f t="shared" si="3"/>
        <v>0.48356165123186107</v>
      </c>
      <c r="V7">
        <f t="shared" si="3"/>
        <v>0.5235009056733041</v>
      </c>
      <c r="W7">
        <f t="shared" si="3"/>
        <v>0.48102384660411179</v>
      </c>
      <c r="X7">
        <f t="shared" si="3"/>
        <v>0.4949502767943828</v>
      </c>
      <c r="Z7">
        <v>0.43</v>
      </c>
      <c r="AA7">
        <v>0</v>
      </c>
      <c r="AB7">
        <v>1</v>
      </c>
      <c r="AC7">
        <v>1</v>
      </c>
      <c r="AD7">
        <v>0</v>
      </c>
      <c r="AE7">
        <v>0</v>
      </c>
    </row>
    <row r="8" spans="2:31" x14ac:dyDescent="0.15">
      <c r="F8">
        <v>-3.5</v>
      </c>
      <c r="G8">
        <f t="shared" si="1"/>
        <v>8.7268269504576015E-4</v>
      </c>
      <c r="H8">
        <f t="shared" si="4"/>
        <v>4.7836071267013227E-3</v>
      </c>
      <c r="I8">
        <f t="shared" si="2"/>
        <v>1.9604555808020938E-3</v>
      </c>
      <c r="J8">
        <f t="shared" si="2"/>
        <v>1.4856628942363083E-3</v>
      </c>
      <c r="K8">
        <f t="shared" si="2"/>
        <v>1.1625554838789979E-3</v>
      </c>
      <c r="T8">
        <f t="shared" si="3"/>
        <v>1.3668982243116592</v>
      </c>
      <c r="U8">
        <f t="shared" si="3"/>
        <v>0.44538845901403923</v>
      </c>
      <c r="V8">
        <f t="shared" si="3"/>
        <v>0.543979305347563</v>
      </c>
      <c r="W8">
        <f t="shared" si="3"/>
        <v>0.49873864324433403</v>
      </c>
      <c r="X8">
        <f t="shared" si="3"/>
        <v>0.50017228204125808</v>
      </c>
      <c r="Z8">
        <v>0.44</v>
      </c>
      <c r="AA8">
        <v>0</v>
      </c>
      <c r="AB8">
        <v>0</v>
      </c>
      <c r="AC8">
        <v>1</v>
      </c>
      <c r="AD8">
        <v>0</v>
      </c>
      <c r="AE8">
        <v>0</v>
      </c>
    </row>
    <row r="9" spans="2:31" x14ac:dyDescent="0.15">
      <c r="F9">
        <v>-3</v>
      </c>
      <c r="G9">
        <f t="shared" si="1"/>
        <v>4.4318484119380075E-3</v>
      </c>
      <c r="H9">
        <f t="shared" si="4"/>
        <v>1.1400549464542524E-2</v>
      </c>
      <c r="I9">
        <f t="shared" si="2"/>
        <v>6.7790627460931003E-3</v>
      </c>
      <c r="J9">
        <f t="shared" si="2"/>
        <v>5.8310605583565224E-3</v>
      </c>
      <c r="K9">
        <f t="shared" si="2"/>
        <v>5.1260897023202509E-3</v>
      </c>
      <c r="T9">
        <f t="shared" si="3"/>
        <v>1.3453821392770529</v>
      </c>
      <c r="U9">
        <f t="shared" si="3"/>
        <v>0.25840499771119668</v>
      </c>
      <c r="V9">
        <f t="shared" si="3"/>
        <v>0.46880530394365588</v>
      </c>
      <c r="W9">
        <f t="shared" si="3"/>
        <v>0.49173327821822888</v>
      </c>
      <c r="X9">
        <f t="shared" si="3"/>
        <v>0.4970528451463867</v>
      </c>
      <c r="Z9">
        <v>0.45</v>
      </c>
      <c r="AA9">
        <v>0</v>
      </c>
      <c r="AB9">
        <v>1</v>
      </c>
      <c r="AC9">
        <v>3</v>
      </c>
      <c r="AD9">
        <v>0</v>
      </c>
      <c r="AE9">
        <v>0</v>
      </c>
    </row>
    <row r="10" spans="2:31" x14ac:dyDescent="0.15">
      <c r="F10">
        <v>-2.5</v>
      </c>
      <c r="G10">
        <f t="shared" si="1"/>
        <v>1.752830049356854E-2</v>
      </c>
      <c r="H10">
        <f t="shared" si="4"/>
        <v>2.6938727628244463E-2</v>
      </c>
      <c r="I10">
        <f t="shared" si="2"/>
        <v>2.1057019220621639E-2</v>
      </c>
      <c r="J10">
        <f t="shared" si="2"/>
        <v>1.9694702081706587E-2</v>
      </c>
      <c r="K10">
        <f t="shared" si="2"/>
        <v>1.8630003746412823E-2</v>
      </c>
      <c r="T10">
        <f>MeanOfExp(T$3,2)</f>
        <v>0.61873955729631369</v>
      </c>
      <c r="U10">
        <f t="shared" si="3"/>
        <v>0.39381969713657727</v>
      </c>
      <c r="V10">
        <f t="shared" si="3"/>
        <v>0.49581348168795097</v>
      </c>
      <c r="W10">
        <f t="shared" si="3"/>
        <v>0.50644790956010588</v>
      </c>
      <c r="X10">
        <f t="shared" si="3"/>
        <v>0.50001574962460349</v>
      </c>
      <c r="Z10">
        <v>0.46</v>
      </c>
      <c r="AA10">
        <v>0</v>
      </c>
      <c r="AB10">
        <v>0</v>
      </c>
      <c r="AC10">
        <v>1</v>
      </c>
      <c r="AD10">
        <v>0</v>
      </c>
      <c r="AE10">
        <v>0</v>
      </c>
    </row>
    <row r="11" spans="2:31" x14ac:dyDescent="0.15">
      <c r="F11">
        <v>-2</v>
      </c>
      <c r="G11">
        <f t="shared" si="1"/>
        <v>5.3990966513188063E-2</v>
      </c>
      <c r="H11">
        <f t="shared" si="4"/>
        <v>6.1145766321218181E-2</v>
      </c>
      <c r="I11">
        <f t="shared" si="2"/>
        <v>5.6852275047197962E-2</v>
      </c>
      <c r="J11">
        <f t="shared" si="2"/>
        <v>5.5774151649800992E-2</v>
      </c>
      <c r="K11">
        <f t="shared" si="2"/>
        <v>5.490864329540969E-2</v>
      </c>
      <c r="T11">
        <f>MeanOfExp(T$3,2)</f>
        <v>1.1245934653814724</v>
      </c>
      <c r="U11">
        <f t="shared" si="3"/>
        <v>0.651668409396714</v>
      </c>
      <c r="V11">
        <f t="shared" si="3"/>
        <v>0.52000181207217122</v>
      </c>
      <c r="W11">
        <f t="shared" si="3"/>
        <v>0.51609913561581255</v>
      </c>
      <c r="X11">
        <f t="shared" si="3"/>
        <v>0.49875999043654845</v>
      </c>
      <c r="Z11">
        <v>0.47</v>
      </c>
      <c r="AA11">
        <v>0</v>
      </c>
      <c r="AB11">
        <v>0</v>
      </c>
      <c r="AC11">
        <v>2</v>
      </c>
      <c r="AD11">
        <v>3</v>
      </c>
      <c r="AE11">
        <v>0</v>
      </c>
    </row>
    <row r="12" spans="2:31" x14ac:dyDescent="0.15">
      <c r="F12">
        <v>-1.5</v>
      </c>
      <c r="G12">
        <f t="shared" si="1"/>
        <v>0.12951759566589174</v>
      </c>
      <c r="H12">
        <f t="shared" si="4"/>
        <v>0.12744479428709171</v>
      </c>
      <c r="I12">
        <f t="shared" si="2"/>
        <v>0.12896160173967178</v>
      </c>
      <c r="J12">
        <f t="shared" si="2"/>
        <v>0.12920321834422047</v>
      </c>
      <c r="K12">
        <f t="shared" si="2"/>
        <v>0.12936799740683039</v>
      </c>
      <c r="T12">
        <f>MeanOfExp(T$3,2)</f>
        <v>1.3006765016537725</v>
      </c>
      <c r="U12">
        <f t="shared" si="3"/>
        <v>0.54913318186263682</v>
      </c>
      <c r="V12">
        <f t="shared" si="3"/>
        <v>0.52787526929489215</v>
      </c>
      <c r="W12">
        <f t="shared" si="3"/>
        <v>0.50991656038031241</v>
      </c>
      <c r="X12">
        <f t="shared" si="3"/>
        <v>0.49427199359192464</v>
      </c>
      <c r="Z12">
        <v>0.48</v>
      </c>
      <c r="AA12">
        <v>0</v>
      </c>
      <c r="AB12">
        <v>0</v>
      </c>
      <c r="AC12">
        <v>1</v>
      </c>
      <c r="AD12">
        <v>1</v>
      </c>
      <c r="AE12">
        <v>0</v>
      </c>
    </row>
    <row r="13" spans="2:31" x14ac:dyDescent="0.15">
      <c r="F13">
        <v>-1</v>
      </c>
      <c r="G13">
        <f t="shared" si="1"/>
        <v>0.24197072451914337</v>
      </c>
      <c r="H13">
        <f t="shared" si="4"/>
        <v>0.23036198922913867</v>
      </c>
      <c r="I13">
        <f t="shared" si="2"/>
        <v>0.23799334232287983</v>
      </c>
      <c r="J13">
        <f t="shared" si="2"/>
        <v>0.2395710620586905</v>
      </c>
      <c r="K13">
        <f t="shared" si="2"/>
        <v>0.240765896928546</v>
      </c>
      <c r="T13">
        <f>MeanOfExp(T$3,2)</f>
        <v>0.38056582823724411</v>
      </c>
      <c r="U13">
        <f t="shared" si="3"/>
        <v>0.48302802816190199</v>
      </c>
      <c r="V13">
        <f t="shared" si="3"/>
        <v>0.54213511346993704</v>
      </c>
      <c r="W13">
        <f t="shared" si="3"/>
        <v>0.49574896785730121</v>
      </c>
      <c r="X13">
        <f t="shared" si="3"/>
        <v>0.50377412517551923</v>
      </c>
      <c r="Z13">
        <v>0.49</v>
      </c>
      <c r="AA13">
        <v>0</v>
      </c>
      <c r="AB13">
        <v>3</v>
      </c>
      <c r="AC13">
        <v>2</v>
      </c>
      <c r="AD13">
        <v>2</v>
      </c>
      <c r="AE13">
        <v>0</v>
      </c>
    </row>
    <row r="14" spans="2:31" x14ac:dyDescent="0.15">
      <c r="F14">
        <v>-0.5</v>
      </c>
      <c r="G14">
        <f t="shared" si="1"/>
        <v>0.35206532676429952</v>
      </c>
      <c r="H14">
        <f t="shared" si="4"/>
        <v>0.33969513635207788</v>
      </c>
      <c r="I14">
        <f t="shared" si="2"/>
        <v>0.34787857969720454</v>
      </c>
      <c r="J14">
        <f t="shared" si="2"/>
        <v>0.34954586046517899</v>
      </c>
      <c r="K14">
        <f t="shared" si="2"/>
        <v>0.35080283339233032</v>
      </c>
      <c r="T14">
        <f>MeanOfExp(T$3,2)</f>
        <v>1.744579984940434</v>
      </c>
      <c r="U14">
        <f t="shared" si="3"/>
        <v>0.63464937955928824</v>
      </c>
      <c r="V14">
        <f t="shared" si="3"/>
        <v>0.4256415384358504</v>
      </c>
      <c r="W14">
        <f t="shared" si="3"/>
        <v>0.46551426839721255</v>
      </c>
      <c r="X14">
        <f t="shared" si="3"/>
        <v>0.49043989283750034</v>
      </c>
      <c r="Z14">
        <v>0.5</v>
      </c>
      <c r="AA14">
        <v>0</v>
      </c>
      <c r="AB14">
        <v>0</v>
      </c>
      <c r="AC14">
        <v>1</v>
      </c>
      <c r="AD14">
        <v>3</v>
      </c>
      <c r="AE14">
        <v>14</v>
      </c>
    </row>
    <row r="15" spans="2:31" x14ac:dyDescent="0.15">
      <c r="F15">
        <v>0</v>
      </c>
      <c r="G15">
        <f t="shared" si="1"/>
        <v>0.3989422804014327</v>
      </c>
      <c r="H15">
        <f t="shared" si="4"/>
        <v>0.38910838396603115</v>
      </c>
      <c r="I15">
        <f t="shared" si="2"/>
        <v>0.39563218489409779</v>
      </c>
      <c r="J15">
        <f t="shared" si="2"/>
        <v>0.3969526797311142</v>
      </c>
      <c r="K15">
        <f t="shared" si="2"/>
        <v>0.39794618693589384</v>
      </c>
      <c r="T15">
        <f>MeanOfExp(T$3,2)</f>
        <v>0.75368836003279205</v>
      </c>
      <c r="U15">
        <f t="shared" si="3"/>
        <v>0.42577614491200022</v>
      </c>
      <c r="V15">
        <f t="shared" si="3"/>
        <v>0.44695944966211731</v>
      </c>
      <c r="W15">
        <f t="shared" si="3"/>
        <v>0.47357284594164056</v>
      </c>
      <c r="X15">
        <f t="shared" si="3"/>
        <v>0.49197331959125168</v>
      </c>
      <c r="Z15">
        <v>0.50999999999999901</v>
      </c>
      <c r="AA15">
        <v>0</v>
      </c>
      <c r="AB15">
        <v>0</v>
      </c>
      <c r="AC15">
        <v>0</v>
      </c>
      <c r="AD15">
        <v>6</v>
      </c>
      <c r="AE15">
        <v>7</v>
      </c>
    </row>
    <row r="16" spans="2:31" x14ac:dyDescent="0.15">
      <c r="F16">
        <v>0.5</v>
      </c>
      <c r="G16">
        <f t="shared" si="1"/>
        <v>0.35206532676429952</v>
      </c>
      <c r="H16">
        <f t="shared" si="4"/>
        <v>0.33969513635207788</v>
      </c>
      <c r="I16">
        <f t="shared" si="2"/>
        <v>0.34787857969720454</v>
      </c>
      <c r="J16">
        <f t="shared" si="2"/>
        <v>0.34954586046517899</v>
      </c>
      <c r="K16">
        <f t="shared" si="2"/>
        <v>0.35080283339233032</v>
      </c>
      <c r="T16">
        <f>MeanOfExp(T$3,2)</f>
        <v>0.84054340208502776</v>
      </c>
      <c r="U16">
        <f t="shared" si="3"/>
        <v>0.53374501801088869</v>
      </c>
      <c r="V16">
        <f t="shared" si="3"/>
        <v>0.47506989147020451</v>
      </c>
      <c r="W16">
        <f t="shared" si="3"/>
        <v>0.46512506113108498</v>
      </c>
      <c r="X16">
        <f t="shared" si="3"/>
        <v>0.49635240855296558</v>
      </c>
      <c r="Z16">
        <v>0.51999999999999902</v>
      </c>
      <c r="AA16">
        <v>0</v>
      </c>
      <c r="AB16">
        <v>0</v>
      </c>
      <c r="AC16">
        <v>1</v>
      </c>
      <c r="AD16">
        <v>3</v>
      </c>
      <c r="AE16">
        <v>0</v>
      </c>
    </row>
    <row r="17" spans="6:31" x14ac:dyDescent="0.15">
      <c r="F17">
        <v>1</v>
      </c>
      <c r="G17">
        <f t="shared" si="1"/>
        <v>0.24197072451914337</v>
      </c>
      <c r="H17">
        <f t="shared" si="4"/>
        <v>0.23036198922913867</v>
      </c>
      <c r="I17">
        <f t="shared" si="2"/>
        <v>0.23799334232287983</v>
      </c>
      <c r="J17">
        <f t="shared" si="2"/>
        <v>0.2395710620586905</v>
      </c>
      <c r="K17">
        <f t="shared" si="2"/>
        <v>0.240765896928546</v>
      </c>
      <c r="T17">
        <f>MeanOfExp(T$3,2)</f>
        <v>0.94157302597921466</v>
      </c>
      <c r="U17">
        <f t="shared" si="3"/>
        <v>0.34776927167807359</v>
      </c>
      <c r="V17">
        <f t="shared" si="3"/>
        <v>0.48927003596729679</v>
      </c>
      <c r="W17">
        <f t="shared" si="3"/>
        <v>0.48824669406155613</v>
      </c>
      <c r="X17">
        <f t="shared" si="3"/>
        <v>0.50495522493943923</v>
      </c>
      <c r="Z17">
        <v>0.52999999999999903</v>
      </c>
      <c r="AA17">
        <v>0</v>
      </c>
      <c r="AB17">
        <v>0</v>
      </c>
      <c r="AC17">
        <v>3</v>
      </c>
      <c r="AD17">
        <v>1</v>
      </c>
      <c r="AE17">
        <v>0</v>
      </c>
    </row>
    <row r="18" spans="6:31" x14ac:dyDescent="0.15">
      <c r="F18">
        <v>1.5</v>
      </c>
      <c r="G18">
        <f t="shared" si="1"/>
        <v>0.12951759566589174</v>
      </c>
      <c r="H18">
        <f t="shared" si="4"/>
        <v>0.12744479428709171</v>
      </c>
      <c r="I18">
        <f t="shared" si="2"/>
        <v>0.12896160173967178</v>
      </c>
      <c r="J18">
        <f t="shared" si="2"/>
        <v>0.12920321834422047</v>
      </c>
      <c r="K18">
        <f t="shared" si="2"/>
        <v>0.12936799740683039</v>
      </c>
      <c r="T18">
        <f>MeanOfExp(T$3,2)</f>
        <v>1.264410788809238</v>
      </c>
      <c r="U18">
        <f t="shared" si="3"/>
        <v>0.34777820095628942</v>
      </c>
      <c r="V18">
        <f t="shared" si="3"/>
        <v>0.45793362879152782</v>
      </c>
      <c r="W18">
        <f t="shared" si="3"/>
        <v>0.53000245678894686</v>
      </c>
      <c r="X18">
        <f t="shared" si="3"/>
        <v>0.49773261660127593</v>
      </c>
      <c r="Z18">
        <v>0.53999999999999904</v>
      </c>
      <c r="AA18">
        <v>0</v>
      </c>
      <c r="AB18">
        <v>1</v>
      </c>
      <c r="AC18">
        <v>0</v>
      </c>
      <c r="AD18">
        <v>2</v>
      </c>
      <c r="AE18">
        <v>0</v>
      </c>
    </row>
    <row r="19" spans="6:31" x14ac:dyDescent="0.15">
      <c r="F19">
        <v>2</v>
      </c>
      <c r="G19">
        <f t="shared" si="1"/>
        <v>5.3990966513188063E-2</v>
      </c>
      <c r="H19">
        <f t="shared" si="4"/>
        <v>6.1145766321218181E-2</v>
      </c>
      <c r="I19">
        <f t="shared" si="2"/>
        <v>5.6852275047197962E-2</v>
      </c>
      <c r="J19">
        <f t="shared" si="2"/>
        <v>5.5774151649800992E-2</v>
      </c>
      <c r="K19">
        <f t="shared" si="2"/>
        <v>5.490864329540969E-2</v>
      </c>
      <c r="T19">
        <f>MeanOfExp(T$3,2)</f>
        <v>5.1168714671247187E-2</v>
      </c>
      <c r="U19">
        <f t="shared" si="3"/>
        <v>0.88975684349367568</v>
      </c>
      <c r="V19">
        <f t="shared" si="3"/>
        <v>0.44943755290875659</v>
      </c>
      <c r="W19">
        <f t="shared" si="3"/>
        <v>0.51587632112325044</v>
      </c>
      <c r="X19">
        <f t="shared" si="3"/>
        <v>0.49774035688720797</v>
      </c>
      <c r="Z19">
        <v>0.54999999999999905</v>
      </c>
      <c r="AA19">
        <v>0</v>
      </c>
      <c r="AB19">
        <v>1</v>
      </c>
      <c r="AC19">
        <v>4</v>
      </c>
      <c r="AD19">
        <v>0</v>
      </c>
      <c r="AE19">
        <v>0</v>
      </c>
    </row>
    <row r="20" spans="6:31" x14ac:dyDescent="0.15">
      <c r="F20">
        <v>2.5</v>
      </c>
      <c r="G20">
        <f t="shared" si="1"/>
        <v>1.752830049356854E-2</v>
      </c>
      <c r="H20">
        <f t="shared" si="4"/>
        <v>2.6938727628244463E-2</v>
      </c>
      <c r="I20">
        <f t="shared" si="2"/>
        <v>2.1057019220621639E-2</v>
      </c>
      <c r="J20">
        <f t="shared" si="2"/>
        <v>1.9694702081706587E-2</v>
      </c>
      <c r="K20">
        <f t="shared" si="2"/>
        <v>1.8630003746412823E-2</v>
      </c>
      <c r="T20">
        <f>MeanOfExp(T$3,2)</f>
        <v>0.73799839542111823</v>
      </c>
      <c r="U20">
        <f t="shared" si="3"/>
        <v>0.59264601047176158</v>
      </c>
      <c r="V20">
        <f t="shared" si="3"/>
        <v>0.51642178009581396</v>
      </c>
      <c r="W20">
        <f t="shared" si="3"/>
        <v>0.50558515508012103</v>
      </c>
      <c r="X20">
        <f t="shared" si="3"/>
        <v>0.4979282484503148</v>
      </c>
      <c r="Z20">
        <v>0.55999999999999905</v>
      </c>
      <c r="AA20">
        <v>0</v>
      </c>
      <c r="AB20">
        <v>1</v>
      </c>
      <c r="AC20">
        <v>0</v>
      </c>
      <c r="AD20">
        <v>0</v>
      </c>
      <c r="AE20">
        <v>0</v>
      </c>
    </row>
    <row r="21" spans="6:31" x14ac:dyDescent="0.15">
      <c r="F21">
        <v>3</v>
      </c>
      <c r="G21">
        <f t="shared" si="1"/>
        <v>4.4318484119380075E-3</v>
      </c>
      <c r="H21">
        <f t="shared" si="4"/>
        <v>1.1400549464542524E-2</v>
      </c>
      <c r="I21">
        <f t="shared" si="2"/>
        <v>6.7790627460931003E-3</v>
      </c>
      <c r="J21">
        <f t="shared" si="2"/>
        <v>5.8310605583565224E-3</v>
      </c>
      <c r="K21">
        <f t="shared" si="2"/>
        <v>5.1260897023202509E-3</v>
      </c>
      <c r="T21">
        <f>MeanOfExp(T$3,2)</f>
        <v>1.5342698579496243</v>
      </c>
      <c r="U21">
        <f t="shared" si="3"/>
        <v>0.48901385435115569</v>
      </c>
      <c r="V21">
        <f t="shared" si="3"/>
        <v>0.54138026406703854</v>
      </c>
      <c r="W21">
        <f t="shared" si="3"/>
        <v>0.46576836911481195</v>
      </c>
      <c r="X21">
        <f t="shared" si="3"/>
        <v>0.49146007952199144</v>
      </c>
      <c r="Z21">
        <v>0.56999999999999895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6:31" x14ac:dyDescent="0.15">
      <c r="F22">
        <v>3.5</v>
      </c>
      <c r="G22">
        <f t="shared" si="1"/>
        <v>8.7268269504576015E-4</v>
      </c>
      <c r="H22">
        <f t="shared" si="4"/>
        <v>4.7836071267013227E-3</v>
      </c>
      <c r="I22">
        <f t="shared" si="2"/>
        <v>1.9604555808020938E-3</v>
      </c>
      <c r="J22">
        <f t="shared" si="2"/>
        <v>1.4856628942363083E-3</v>
      </c>
      <c r="K22">
        <f t="shared" si="2"/>
        <v>1.1625554838789979E-3</v>
      </c>
      <c r="T22">
        <f>MeanOfExp(T$3,2)</f>
        <v>1.0817863727786194</v>
      </c>
      <c r="U22">
        <f t="shared" si="3"/>
        <v>0.31635447500724623</v>
      </c>
      <c r="V22">
        <f t="shared" si="3"/>
        <v>0.44298278185301249</v>
      </c>
      <c r="W22">
        <f t="shared" si="3"/>
        <v>0.53638188238432316</v>
      </c>
      <c r="X22">
        <f t="shared" si="3"/>
        <v>0.50206643664775219</v>
      </c>
      <c r="Z22">
        <v>0.57999999999999896</v>
      </c>
      <c r="AA22">
        <v>0</v>
      </c>
      <c r="AB22">
        <v>0</v>
      </c>
      <c r="AC22">
        <v>1</v>
      </c>
      <c r="AD22">
        <v>0</v>
      </c>
      <c r="AE22">
        <v>0</v>
      </c>
    </row>
    <row r="23" spans="6:31" x14ac:dyDescent="0.15">
      <c r="F23">
        <v>4</v>
      </c>
      <c r="G23">
        <f t="shared" si="1"/>
        <v>1.3383022576488537E-4</v>
      </c>
      <c r="H23">
        <f t="shared" si="4"/>
        <v>2.0310339110412167E-3</v>
      </c>
      <c r="I23">
        <f t="shared" si="2"/>
        <v>5.2471644019740798E-4</v>
      </c>
      <c r="J23">
        <f t="shared" si="2"/>
        <v>3.3427468818049395E-4</v>
      </c>
      <c r="K23">
        <f t="shared" si="2"/>
        <v>2.2115455654062892E-4</v>
      </c>
      <c r="T23">
        <f>MeanOfExp(T$3,2)</f>
        <v>5.1485353955067974E-2</v>
      </c>
      <c r="U23">
        <f t="shared" si="3"/>
        <v>0.38403780510998387</v>
      </c>
      <c r="V23">
        <f t="shared" si="3"/>
        <v>0.46625562789389524</v>
      </c>
      <c r="W23">
        <f t="shared" si="3"/>
        <v>0.50087578991363335</v>
      </c>
      <c r="X23">
        <f t="shared" si="3"/>
        <v>0.5083130029983246</v>
      </c>
      <c r="Z23">
        <v>0.58999999999999897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6:31" x14ac:dyDescent="0.15">
      <c r="F24">
        <v>4.5</v>
      </c>
      <c r="G24">
        <f t="shared" si="1"/>
        <v>1.5983741106905475E-5</v>
      </c>
      <c r="H24">
        <f t="shared" si="4"/>
        <v>8.8324462669310902E-4</v>
      </c>
      <c r="I24">
        <f t="shared" si="2"/>
        <v>1.3337119368780277E-4</v>
      </c>
      <c r="J24">
        <f t="shared" si="2"/>
        <v>6.8075755523533101E-5</v>
      </c>
      <c r="K24">
        <f t="shared" si="2"/>
        <v>3.5935819475144766E-5</v>
      </c>
      <c r="T24">
        <f t="shared" si="3"/>
        <v>1.1663917628113278</v>
      </c>
      <c r="U24">
        <f t="shared" si="3"/>
        <v>1.1347806996608976</v>
      </c>
      <c r="V24">
        <f t="shared" si="3"/>
        <v>0.57753889594483598</v>
      </c>
      <c r="W24">
        <f t="shared" si="3"/>
        <v>0.50025963401842022</v>
      </c>
      <c r="X24">
        <f t="shared" si="3"/>
        <v>0.50476859666225893</v>
      </c>
      <c r="Z24">
        <v>0.59999999999999898</v>
      </c>
      <c r="AA24">
        <v>0</v>
      </c>
      <c r="AB24">
        <v>1</v>
      </c>
      <c r="AC24">
        <v>0</v>
      </c>
      <c r="AD24">
        <v>0</v>
      </c>
      <c r="AE24">
        <v>0</v>
      </c>
    </row>
    <row r="25" spans="6:31" x14ac:dyDescent="0.15">
      <c r="F25">
        <v>5</v>
      </c>
      <c r="G25">
        <f t="shared" si="1"/>
        <v>1.4867195147342977E-6</v>
      </c>
      <c r="H25">
        <f t="shared" si="4"/>
        <v>3.960010564637988E-4</v>
      </c>
      <c r="I25">
        <f t="shared" si="2"/>
        <v>3.2888902052922403E-5</v>
      </c>
      <c r="J25">
        <f t="shared" si="2"/>
        <v>1.2835465750193539E-5</v>
      </c>
      <c r="K25">
        <f t="shared" si="2"/>
        <v>5.0800582347272843E-6</v>
      </c>
      <c r="Z25">
        <v>0.60999999999999899</v>
      </c>
      <c r="AA25">
        <v>18</v>
      </c>
      <c r="AB25">
        <v>4</v>
      </c>
      <c r="AC25">
        <v>0</v>
      </c>
      <c r="AD25">
        <v>0</v>
      </c>
      <c r="AE25">
        <v>0</v>
      </c>
    </row>
    <row r="27" spans="6:31" x14ac:dyDescent="0.15">
      <c r="AA27">
        <v>1</v>
      </c>
      <c r="AB27">
        <v>10</v>
      </c>
      <c r="AC27">
        <v>100</v>
      </c>
      <c r="AD27">
        <v>1000</v>
      </c>
      <c r="AE27">
        <v>5000</v>
      </c>
    </row>
    <row r="28" spans="6:31" x14ac:dyDescent="0.15">
      <c r="T28">
        <v>1</v>
      </c>
      <c r="U28">
        <v>10</v>
      </c>
      <c r="V28">
        <v>100</v>
      </c>
      <c r="W28">
        <v>1000</v>
      </c>
      <c r="X28">
        <v>2000</v>
      </c>
      <c r="Z28">
        <v>0.5</v>
      </c>
      <c r="AA28">
        <f t="array" ref="AA28:AA49">FREQUENCY(T28:T49,$Z$28:$Z$48)</f>
        <v>1</v>
      </c>
      <c r="AB28">
        <f t="array" ref="AB28:AB49">FREQUENCY(U28:U49,$Z$28:$Z$48)</f>
        <v>0</v>
      </c>
      <c r="AC28">
        <f t="array" ref="AC28:AC49">FREQUENCY(V28:V49,$Z$28:$Z$48)</f>
        <v>0</v>
      </c>
      <c r="AD28">
        <f t="array" ref="AD28:AD49">FREQUENCY(W28:W49,$Z$28:$Z$48)</f>
        <v>0</v>
      </c>
      <c r="AE28">
        <f t="array" ref="AE28:AE49">FREQUENCY(X28:X49,$Z$28:$Z$48)</f>
        <v>0</v>
      </c>
    </row>
    <row r="29" spans="6:31" x14ac:dyDescent="0.15">
      <c r="T29">
        <f>MeanOfLogNormal(T$3,0,1)</f>
        <v>0.49233732283246656</v>
      </c>
      <c r="U29">
        <f>MeanOfLogNormal(U$3,0,1)</f>
        <v>0.84938669233678366</v>
      </c>
      <c r="V29">
        <f t="shared" ref="V29:X49" si="5">MeanOfLogNormal(V$3,0,1)</f>
        <v>1.4500418547014986</v>
      </c>
      <c r="W29">
        <f t="shared" si="5"/>
        <v>1.7063802256506246</v>
      </c>
      <c r="X29">
        <f t="shared" si="5"/>
        <v>1.6634692103591169</v>
      </c>
      <c r="Z29">
        <v>0.6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6:31" x14ac:dyDescent="0.15">
      <c r="T30">
        <f>MeanOfLogNormal(T$3,0,1)</f>
        <v>3.0324165239360776</v>
      </c>
      <c r="U30">
        <f t="shared" ref="T30:U49" si="6">MeanOfLogNormal(U$3,0,1)</f>
        <v>2.0779681026356287</v>
      </c>
      <c r="V30">
        <f t="shared" si="5"/>
        <v>1.4921953437560687</v>
      </c>
      <c r="W30">
        <f t="shared" si="5"/>
        <v>1.725238190223932</v>
      </c>
      <c r="X30">
        <f t="shared" si="5"/>
        <v>1.6465758543323075</v>
      </c>
      <c r="Z30">
        <v>0.7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6:31" x14ac:dyDescent="0.15">
      <c r="T31">
        <f>MeanOfLogNormal(T$3,0,1)</f>
        <v>1.2000782888770098</v>
      </c>
      <c r="U31">
        <f t="shared" si="6"/>
        <v>0.95993978940890834</v>
      </c>
      <c r="V31">
        <f t="shared" si="5"/>
        <v>1.4403301465527334</v>
      </c>
      <c r="W31">
        <f t="shared" si="5"/>
        <v>1.7246356530294134</v>
      </c>
      <c r="X31">
        <f t="shared" si="5"/>
        <v>1.6506688919600216</v>
      </c>
      <c r="Z31">
        <v>0.8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6:31" x14ac:dyDescent="0.15">
      <c r="T32">
        <f>MeanOfLogNormal(T$3,0,1)</f>
        <v>0.80300756205113588</v>
      </c>
      <c r="U32">
        <f t="shared" si="6"/>
        <v>1.9572280002425622</v>
      </c>
      <c r="V32">
        <f t="shared" si="5"/>
        <v>1.6992565252917933</v>
      </c>
      <c r="W32">
        <f t="shared" si="5"/>
        <v>1.7089252960017114</v>
      </c>
      <c r="X32">
        <f t="shared" si="5"/>
        <v>1.68259855100733</v>
      </c>
      <c r="Z32">
        <v>0.9</v>
      </c>
      <c r="AA32">
        <v>1</v>
      </c>
      <c r="AB32">
        <v>1</v>
      </c>
      <c r="AC32">
        <v>0</v>
      </c>
      <c r="AD32">
        <v>0</v>
      </c>
      <c r="AE32">
        <v>0</v>
      </c>
    </row>
    <row r="33" spans="20:31" x14ac:dyDescent="0.15">
      <c r="T33">
        <f>MeanOfLogNormal(T$3,0,1)</f>
        <v>1.8451416000259329</v>
      </c>
      <c r="U33">
        <f t="shared" si="6"/>
        <v>1.4482139796730196</v>
      </c>
      <c r="V33">
        <f t="shared" si="5"/>
        <v>1.4968713122250683</v>
      </c>
      <c r="W33">
        <f t="shared" si="5"/>
        <v>1.7134653616089826</v>
      </c>
      <c r="X33">
        <f t="shared" si="5"/>
        <v>1.590032431374008</v>
      </c>
      <c r="Z33">
        <v>1</v>
      </c>
      <c r="AA33">
        <v>1</v>
      </c>
      <c r="AB33">
        <v>1</v>
      </c>
      <c r="AC33">
        <v>0</v>
      </c>
      <c r="AD33">
        <v>0</v>
      </c>
      <c r="AE33">
        <v>0</v>
      </c>
    </row>
    <row r="34" spans="20:31" x14ac:dyDescent="0.15">
      <c r="T34">
        <f>MeanOfLogNormal(T$3,0,1)</f>
        <v>1.859846023934381</v>
      </c>
      <c r="U34">
        <f t="shared" si="6"/>
        <v>1.3558504799216924</v>
      </c>
      <c r="V34">
        <f t="shared" si="5"/>
        <v>1.6908893669067311</v>
      </c>
      <c r="W34">
        <f t="shared" si="5"/>
        <v>1.7066767116683015</v>
      </c>
      <c r="X34">
        <f t="shared" si="5"/>
        <v>1.6551997599356543</v>
      </c>
      <c r="Z34">
        <v>1.1000000000000001</v>
      </c>
      <c r="AA34">
        <v>1</v>
      </c>
      <c r="AB34">
        <v>0</v>
      </c>
      <c r="AC34">
        <v>0</v>
      </c>
      <c r="AD34">
        <v>0</v>
      </c>
      <c r="AE34">
        <v>0</v>
      </c>
    </row>
    <row r="35" spans="20:31" x14ac:dyDescent="0.15">
      <c r="T35">
        <f t="shared" si="6"/>
        <v>6.1954458788112516</v>
      </c>
      <c r="U35">
        <f t="shared" si="6"/>
        <v>1.9771290241196682</v>
      </c>
      <c r="V35">
        <f t="shared" si="5"/>
        <v>1.4188468545369297</v>
      </c>
      <c r="W35">
        <f t="shared" si="5"/>
        <v>1.6662049787769495</v>
      </c>
      <c r="X35">
        <f t="shared" si="5"/>
        <v>1.6518398326772208</v>
      </c>
      <c r="Z35">
        <v>1.2</v>
      </c>
      <c r="AA35">
        <v>0</v>
      </c>
      <c r="AB35">
        <v>0</v>
      </c>
      <c r="AC35">
        <v>0</v>
      </c>
      <c r="AD35">
        <v>0</v>
      </c>
      <c r="AE35">
        <v>0</v>
      </c>
    </row>
    <row r="36" spans="20:31" x14ac:dyDescent="0.15">
      <c r="T36">
        <f t="shared" si="6"/>
        <v>2.4138244037620047</v>
      </c>
      <c r="U36">
        <f t="shared" si="6"/>
        <v>1.4379262216023554</v>
      </c>
      <c r="V36">
        <f t="shared" si="5"/>
        <v>1.5506049232745613</v>
      </c>
      <c r="W36">
        <f t="shared" si="5"/>
        <v>1.7188618873603836</v>
      </c>
      <c r="X36">
        <f t="shared" si="5"/>
        <v>1.649940654369306</v>
      </c>
      <c r="Z36">
        <v>1.3</v>
      </c>
      <c r="AA36">
        <v>2</v>
      </c>
      <c r="AB36">
        <v>0</v>
      </c>
      <c r="AC36">
        <v>1</v>
      </c>
      <c r="AD36">
        <v>0</v>
      </c>
      <c r="AE36">
        <v>0</v>
      </c>
    </row>
    <row r="37" spans="20:31" x14ac:dyDescent="0.15">
      <c r="T37">
        <f t="shared" si="6"/>
        <v>2.3079044438136838</v>
      </c>
      <c r="U37">
        <f t="shared" si="6"/>
        <v>2.5304728220059292</v>
      </c>
      <c r="V37">
        <f t="shared" si="5"/>
        <v>1.7495131514378826</v>
      </c>
      <c r="W37">
        <f t="shared" si="5"/>
        <v>1.5572453684964698</v>
      </c>
      <c r="X37">
        <f t="shared" si="5"/>
        <v>1.645543862874153</v>
      </c>
      <c r="Z37">
        <v>1.4</v>
      </c>
      <c r="AA37">
        <v>0</v>
      </c>
      <c r="AB37">
        <v>1</v>
      </c>
      <c r="AC37">
        <v>1</v>
      </c>
      <c r="AD37">
        <v>0</v>
      </c>
      <c r="AE37">
        <v>0</v>
      </c>
    </row>
    <row r="38" spans="20:31" x14ac:dyDescent="0.15">
      <c r="T38">
        <f t="shared" si="6"/>
        <v>1.7574053563131347</v>
      </c>
      <c r="U38">
        <f t="shared" si="6"/>
        <v>2.5729395787897724</v>
      </c>
      <c r="V38">
        <f t="shared" si="5"/>
        <v>1.4795007376688165</v>
      </c>
      <c r="W38">
        <f t="shared" si="5"/>
        <v>1.7782678503300418</v>
      </c>
      <c r="X38">
        <f t="shared" si="5"/>
        <v>1.6434655754676983</v>
      </c>
      <c r="Z38">
        <v>1.5</v>
      </c>
      <c r="AA38">
        <v>1</v>
      </c>
      <c r="AB38">
        <v>4</v>
      </c>
      <c r="AC38">
        <v>8</v>
      </c>
      <c r="AD38">
        <v>0</v>
      </c>
      <c r="AE38">
        <v>0</v>
      </c>
    </row>
    <row r="39" spans="20:31" x14ac:dyDescent="0.15">
      <c r="T39">
        <f t="shared" si="6"/>
        <v>1.4382013375619593</v>
      </c>
      <c r="U39">
        <f t="shared" si="6"/>
        <v>1.4387642340773092</v>
      </c>
      <c r="V39">
        <f t="shared" si="5"/>
        <v>1.4858759451126291</v>
      </c>
      <c r="W39">
        <f t="shared" si="5"/>
        <v>1.6063109307452794</v>
      </c>
      <c r="X39">
        <f t="shared" si="5"/>
        <v>1.6579868057048941</v>
      </c>
      <c r="Z39">
        <v>1.6</v>
      </c>
      <c r="AA39">
        <v>0</v>
      </c>
      <c r="AB39">
        <v>2</v>
      </c>
      <c r="AC39">
        <v>4</v>
      </c>
      <c r="AD39">
        <v>3</v>
      </c>
      <c r="AE39">
        <v>1</v>
      </c>
    </row>
    <row r="40" spans="20:31" x14ac:dyDescent="0.15">
      <c r="T40">
        <f t="shared" si="6"/>
        <v>10.864452569738956</v>
      </c>
      <c r="U40">
        <f t="shared" si="6"/>
        <v>2.900376332796335</v>
      </c>
      <c r="V40">
        <f t="shared" si="5"/>
        <v>1.6681394421058215</v>
      </c>
      <c r="W40">
        <f t="shared" si="5"/>
        <v>1.6932009760801343</v>
      </c>
      <c r="X40">
        <f t="shared" si="5"/>
        <v>1.6432297362842907</v>
      </c>
      <c r="Z40">
        <v>1.7</v>
      </c>
      <c r="AA40">
        <v>0</v>
      </c>
      <c r="AB40">
        <v>1</v>
      </c>
      <c r="AC40">
        <v>3</v>
      </c>
      <c r="AD40">
        <v>9</v>
      </c>
      <c r="AE40">
        <v>19</v>
      </c>
    </row>
    <row r="41" spans="20:31" x14ac:dyDescent="0.15">
      <c r="T41">
        <f t="shared" si="6"/>
        <v>6.595494850388758</v>
      </c>
      <c r="U41">
        <f t="shared" si="6"/>
        <v>2.1782172299165654</v>
      </c>
      <c r="V41">
        <f t="shared" si="5"/>
        <v>1.5558810340016984</v>
      </c>
      <c r="W41">
        <f t="shared" si="5"/>
        <v>1.6503581519325972</v>
      </c>
      <c r="X41">
        <f t="shared" si="5"/>
        <v>1.6623880816761873</v>
      </c>
      <c r="Z41">
        <v>1.8</v>
      </c>
      <c r="AA41">
        <v>2</v>
      </c>
      <c r="AB41">
        <v>0</v>
      </c>
      <c r="AC41">
        <v>3</v>
      </c>
      <c r="AD41">
        <v>9</v>
      </c>
      <c r="AE41">
        <v>1</v>
      </c>
    </row>
    <row r="42" spans="20:31" x14ac:dyDescent="0.15">
      <c r="T42">
        <f t="shared" si="6"/>
        <v>1.0665193336121073</v>
      </c>
      <c r="U42">
        <f t="shared" si="6"/>
        <v>2.7355338592615843</v>
      </c>
      <c r="V42">
        <f t="shared" si="5"/>
        <v>1.5035226535831694</v>
      </c>
      <c r="W42">
        <f t="shared" si="5"/>
        <v>1.6388461355748056</v>
      </c>
      <c r="X42">
        <f t="shared" si="5"/>
        <v>1.6412848746692641</v>
      </c>
      <c r="Z42">
        <v>1.9</v>
      </c>
      <c r="AA42">
        <v>2</v>
      </c>
      <c r="AB42">
        <v>0</v>
      </c>
      <c r="AC42">
        <v>0</v>
      </c>
      <c r="AD42">
        <v>0</v>
      </c>
      <c r="AE42">
        <v>0</v>
      </c>
    </row>
    <row r="43" spans="20:31" x14ac:dyDescent="0.15">
      <c r="T43">
        <f t="shared" si="6"/>
        <v>10.282326077934657</v>
      </c>
      <c r="U43">
        <f t="shared" si="6"/>
        <v>1.5019436039792464</v>
      </c>
      <c r="V43">
        <f t="shared" si="5"/>
        <v>1.2516521512752563</v>
      </c>
      <c r="W43">
        <f t="shared" si="5"/>
        <v>1.6039391416483271</v>
      </c>
      <c r="X43">
        <f t="shared" si="5"/>
        <v>1.7099053182890545</v>
      </c>
      <c r="Z43">
        <v>2</v>
      </c>
      <c r="AA43">
        <v>0</v>
      </c>
      <c r="AB43">
        <v>3</v>
      </c>
      <c r="AC43">
        <v>0</v>
      </c>
      <c r="AD43">
        <v>0</v>
      </c>
      <c r="AE43">
        <v>0</v>
      </c>
    </row>
    <row r="44" spans="20:31" x14ac:dyDescent="0.15">
      <c r="T44">
        <f t="shared" si="6"/>
        <v>1.7009685465754334</v>
      </c>
      <c r="U44">
        <f t="shared" si="6"/>
        <v>1.6208076596768006</v>
      </c>
      <c r="V44">
        <f t="shared" si="5"/>
        <v>1.3843124581805875</v>
      </c>
      <c r="W44">
        <f t="shared" si="5"/>
        <v>1.6528066265674588</v>
      </c>
      <c r="X44">
        <f t="shared" si="5"/>
        <v>1.6640594003065889</v>
      </c>
      <c r="Z44">
        <v>2.1</v>
      </c>
      <c r="AA44">
        <v>0</v>
      </c>
      <c r="AB44">
        <v>2</v>
      </c>
      <c r="AC44">
        <v>0</v>
      </c>
      <c r="AD44">
        <v>0</v>
      </c>
      <c r="AE44">
        <v>0</v>
      </c>
    </row>
    <row r="45" spans="20:31" x14ac:dyDescent="0.15">
      <c r="T45">
        <f t="shared" si="6"/>
        <v>3.2175224901945767</v>
      </c>
      <c r="U45">
        <f t="shared" si="6"/>
        <v>3.1200206748867485</v>
      </c>
      <c r="V45">
        <f t="shared" si="5"/>
        <v>2.1932529907390341</v>
      </c>
      <c r="W45">
        <f t="shared" si="5"/>
        <v>1.6434999974209497</v>
      </c>
      <c r="X45">
        <f t="shared" si="5"/>
        <v>1.6714544696595528</v>
      </c>
      <c r="Z45">
        <v>2.2000000000000002</v>
      </c>
      <c r="AA45">
        <v>0</v>
      </c>
      <c r="AB45">
        <v>1</v>
      </c>
      <c r="AC45">
        <v>1</v>
      </c>
      <c r="AD45">
        <v>0</v>
      </c>
      <c r="AE45">
        <v>0</v>
      </c>
    </row>
    <row r="46" spans="20:31" x14ac:dyDescent="0.15">
      <c r="T46">
        <f t="shared" si="6"/>
        <v>4.9624664635896121</v>
      </c>
      <c r="U46">
        <f t="shared" si="6"/>
        <v>1.4825553256482826</v>
      </c>
      <c r="V46">
        <f t="shared" si="5"/>
        <v>1.5250469934865489</v>
      </c>
      <c r="W46">
        <f t="shared" si="5"/>
        <v>1.5877946911008629</v>
      </c>
      <c r="X46">
        <f t="shared" si="5"/>
        <v>1.6558993107575797</v>
      </c>
      <c r="Z46">
        <v>2.2999999999999998</v>
      </c>
      <c r="AA46">
        <v>0</v>
      </c>
      <c r="AB46">
        <v>0</v>
      </c>
      <c r="AC46">
        <v>0</v>
      </c>
      <c r="AD46">
        <v>0</v>
      </c>
      <c r="AE46">
        <v>0</v>
      </c>
    </row>
    <row r="47" spans="20:31" x14ac:dyDescent="0.15">
      <c r="T47">
        <f t="shared" si="6"/>
        <v>3.5556805925834709</v>
      </c>
      <c r="U47">
        <f t="shared" si="6"/>
        <v>1.9422211413184201</v>
      </c>
      <c r="V47">
        <f t="shared" si="5"/>
        <v>1.4793240950636386</v>
      </c>
      <c r="W47">
        <f t="shared" si="5"/>
        <v>1.6539946539891197</v>
      </c>
      <c r="X47">
        <f t="shared" si="5"/>
        <v>1.6855754136727916</v>
      </c>
      <c r="Z47">
        <v>2.4</v>
      </c>
      <c r="AA47">
        <v>1</v>
      </c>
      <c r="AB47">
        <v>0</v>
      </c>
      <c r="AC47">
        <v>0</v>
      </c>
      <c r="AD47">
        <v>0</v>
      </c>
      <c r="AE47">
        <v>0</v>
      </c>
    </row>
    <row r="48" spans="20:31" x14ac:dyDescent="0.15">
      <c r="T48">
        <f t="shared" si="6"/>
        <v>1.2226077266227158</v>
      </c>
      <c r="U48">
        <f t="shared" si="6"/>
        <v>2.0185057161915072</v>
      </c>
      <c r="V48">
        <f t="shared" si="5"/>
        <v>1.7626227057718549</v>
      </c>
      <c r="W48">
        <f t="shared" si="5"/>
        <v>1.7565610422729716</v>
      </c>
      <c r="X48">
        <f t="shared" si="5"/>
        <v>1.6695965120473046</v>
      </c>
      <c r="Z48">
        <v>2.5</v>
      </c>
      <c r="AA48">
        <v>1</v>
      </c>
      <c r="AB48">
        <v>0</v>
      </c>
      <c r="AC48">
        <v>0</v>
      </c>
      <c r="AD48">
        <v>0</v>
      </c>
      <c r="AE48">
        <v>0</v>
      </c>
    </row>
    <row r="49" spans="20:31" x14ac:dyDescent="0.15">
      <c r="T49">
        <f t="shared" si="6"/>
        <v>3.806096007738033</v>
      </c>
      <c r="U49">
        <f t="shared" si="6"/>
        <v>1.5331807165692193</v>
      </c>
      <c r="V49">
        <f t="shared" si="5"/>
        <v>1.7501261726106716</v>
      </c>
      <c r="W49">
        <f t="shared" si="5"/>
        <v>1.5953267617444269</v>
      </c>
      <c r="X49">
        <f t="shared" si="5"/>
        <v>1.6901102131781274</v>
      </c>
      <c r="Z49">
        <v>2.6</v>
      </c>
      <c r="AA49">
        <v>9</v>
      </c>
      <c r="AB49">
        <v>6</v>
      </c>
      <c r="AC49">
        <v>1</v>
      </c>
      <c r="AD49">
        <v>1</v>
      </c>
      <c r="AE49">
        <v>1</v>
      </c>
    </row>
    <row r="51" spans="20:31" x14ac:dyDescent="0.15">
      <c r="AA51">
        <v>1</v>
      </c>
      <c r="AB51">
        <v>10</v>
      </c>
      <c r="AC51">
        <v>100</v>
      </c>
      <c r="AD51">
        <v>1000</v>
      </c>
      <c r="AE51">
        <v>5000</v>
      </c>
    </row>
    <row r="52" spans="20:31" x14ac:dyDescent="0.15">
      <c r="T52">
        <v>1</v>
      </c>
      <c r="U52">
        <v>10</v>
      </c>
      <c r="V52">
        <v>100</v>
      </c>
      <c r="W52">
        <v>1000</v>
      </c>
      <c r="X52">
        <v>5000</v>
      </c>
      <c r="Z52">
        <v>0</v>
      </c>
      <c r="AA52">
        <f t="array" ref="AA52:AA82">FREQUENCY(T52:T73,$Z$52:$Z$82)</f>
        <v>11</v>
      </c>
      <c r="AB52">
        <f t="array" ref="AB52:AB82">FREQUENCY(U52:U73,$Z$52:$Z$82)</f>
        <v>1</v>
      </c>
      <c r="AC52">
        <f t="array" ref="AC52:AC82">FREQUENCY(V52:V73,$Z$52:$Z$82)</f>
        <v>0</v>
      </c>
      <c r="AD52">
        <f t="array" ref="AD52:AD82">FREQUENCY(W52:W73,$Z$52:$Z$82)</f>
        <v>0</v>
      </c>
      <c r="AE52">
        <f t="array" ref="AE52:AE82">FREQUENCY(X52:X73,$Z$52:$Z$82)</f>
        <v>0</v>
      </c>
    </row>
    <row r="53" spans="20:31" x14ac:dyDescent="0.15">
      <c r="T53">
        <f>MeanOfLogNormalCallOption(T$3,0,1,2)</f>
        <v>9.0608848944026459</v>
      </c>
      <c r="U53">
        <f>MeanOfLogNormalCallOption(U$3,0,1,2)</f>
        <v>0.89439325914317325</v>
      </c>
      <c r="V53">
        <f t="shared" ref="V53:X73" si="7">MeanOfLogNormalCallOption(V$3,0,1,2)</f>
        <v>0.44283261863084256</v>
      </c>
      <c r="W53">
        <f t="shared" si="7"/>
        <v>0.46093676781549653</v>
      </c>
      <c r="X53">
        <f>MeanOfLogNormalCallOption(X$3,0,1,2)</f>
        <v>0.55181593904145043</v>
      </c>
      <c r="Z53">
        <v>0.05</v>
      </c>
      <c r="AA53">
        <v>1</v>
      </c>
      <c r="AB53">
        <v>0</v>
      </c>
      <c r="AC53">
        <v>0</v>
      </c>
      <c r="AD53">
        <v>0</v>
      </c>
      <c r="AE53">
        <v>0</v>
      </c>
    </row>
    <row r="54" spans="20:31" x14ac:dyDescent="0.15">
      <c r="T54">
        <f>MeanOfLogNormalCallOption(T$3,0,1,2)</f>
        <v>0</v>
      </c>
      <c r="U54">
        <f t="shared" ref="T54:U73" si="8">MeanOfLogNormalCallOption(U$3,0,1,2)</f>
        <v>0.17569233380378058</v>
      </c>
      <c r="V54">
        <f t="shared" si="7"/>
        <v>0.57025078024503484</v>
      </c>
      <c r="W54">
        <f t="shared" si="7"/>
        <v>0.59464360277904071</v>
      </c>
      <c r="X54">
        <f t="shared" si="7"/>
        <v>0.5363332254319334</v>
      </c>
      <c r="Z54">
        <v>0.1</v>
      </c>
      <c r="AA54">
        <v>0</v>
      </c>
      <c r="AB54">
        <v>2</v>
      </c>
      <c r="AC54">
        <v>0</v>
      </c>
      <c r="AD54">
        <v>0</v>
      </c>
      <c r="AE54">
        <v>0</v>
      </c>
    </row>
    <row r="55" spans="20:31" x14ac:dyDescent="0.15">
      <c r="T55">
        <f>MeanOfLogNormalCallOption(T$3,0,1,2)</f>
        <v>0</v>
      </c>
      <c r="U55">
        <f t="shared" si="8"/>
        <v>0.67154683577943275</v>
      </c>
      <c r="V55">
        <f t="shared" si="7"/>
        <v>0.52863636577356288</v>
      </c>
      <c r="W55">
        <f t="shared" si="7"/>
        <v>0.53481575382597235</v>
      </c>
      <c r="X55">
        <f t="shared" si="7"/>
        <v>0.48921038581768328</v>
      </c>
      <c r="Z55">
        <v>0.15</v>
      </c>
      <c r="AA55">
        <v>0</v>
      </c>
      <c r="AB55">
        <v>0</v>
      </c>
      <c r="AC55">
        <v>0</v>
      </c>
      <c r="AD55">
        <v>0</v>
      </c>
      <c r="AE55">
        <v>0</v>
      </c>
    </row>
    <row r="56" spans="20:31" x14ac:dyDescent="0.15">
      <c r="T56">
        <f>MeanOfLogNormalCallOption(T$3,0,1,2)</f>
        <v>1.8884619598587848</v>
      </c>
      <c r="U56">
        <f>MeanOfLogNormalCallOption(U$3,0,1,2)</f>
        <v>0.22892348075311958</v>
      </c>
      <c r="V56">
        <f t="shared" si="7"/>
        <v>0.44526629378266991</v>
      </c>
      <c r="W56">
        <f t="shared" si="7"/>
        <v>0.66058781215674889</v>
      </c>
      <c r="X56">
        <f t="shared" si="7"/>
        <v>0.53586277818381767</v>
      </c>
      <c r="Z56">
        <v>0.2</v>
      </c>
      <c r="AA56">
        <v>0</v>
      </c>
      <c r="AB56">
        <v>5</v>
      </c>
      <c r="AC56">
        <v>0</v>
      </c>
      <c r="AD56">
        <v>0</v>
      </c>
      <c r="AE56">
        <v>0</v>
      </c>
    </row>
    <row r="57" spans="20:31" x14ac:dyDescent="0.15">
      <c r="T57">
        <f>MeanOfLogNormalCallOption(T$3,0,1,2)</f>
        <v>2.3911319306503618</v>
      </c>
      <c r="U57">
        <f>MeanOfLogNormalCallOption(U$3,0,1,2)</f>
        <v>1.412750028842003</v>
      </c>
      <c r="V57">
        <f t="shared" si="7"/>
        <v>0.2667368665973005</v>
      </c>
      <c r="W57">
        <f t="shared" si="7"/>
        <v>0.46795878976258609</v>
      </c>
      <c r="X57">
        <f t="shared" si="7"/>
        <v>0.5254918346420937</v>
      </c>
      <c r="Z57">
        <v>0.25</v>
      </c>
      <c r="AA57">
        <v>0</v>
      </c>
      <c r="AB57">
        <v>2</v>
      </c>
      <c r="AC57">
        <v>2</v>
      </c>
      <c r="AD57">
        <v>0</v>
      </c>
      <c r="AE57">
        <v>0</v>
      </c>
    </row>
    <row r="58" spans="20:31" x14ac:dyDescent="0.15">
      <c r="T58">
        <f>MeanOfLogNormalCallOption(T$3,0,1,2)</f>
        <v>2.1059927709714428</v>
      </c>
      <c r="U58">
        <f>MeanOfLogNormalCallOption(U$3,0,1,2)</f>
        <v>7.8701242954179657E-2</v>
      </c>
      <c r="V58">
        <f t="shared" si="7"/>
        <v>0.28692401006668439</v>
      </c>
      <c r="W58">
        <f t="shared" si="7"/>
        <v>0.53137014023505003</v>
      </c>
      <c r="X58">
        <f t="shared" si="7"/>
        <v>0.49304171456074464</v>
      </c>
      <c r="Z58">
        <v>0.3</v>
      </c>
      <c r="AA58">
        <v>0</v>
      </c>
      <c r="AB58">
        <v>0</v>
      </c>
      <c r="AC58">
        <v>2</v>
      </c>
      <c r="AD58">
        <v>0</v>
      </c>
      <c r="AE58">
        <v>0</v>
      </c>
    </row>
    <row r="59" spans="20:31" x14ac:dyDescent="0.15">
      <c r="T59">
        <f>MeanOfLogNormalCallOption(T$3,0,1,2)</f>
        <v>0</v>
      </c>
      <c r="U59">
        <f>MeanOfLogNormalCallOption(U$3,0,1,2)</f>
        <v>0.23640134725435674</v>
      </c>
      <c r="V59">
        <f t="shared" si="7"/>
        <v>0.61667167540089163</v>
      </c>
      <c r="W59">
        <f t="shared" si="7"/>
        <v>0.50392311804644396</v>
      </c>
      <c r="X59">
        <f t="shared" si="7"/>
        <v>0.56703860557569674</v>
      </c>
      <c r="Z59">
        <v>0.35</v>
      </c>
      <c r="AA59">
        <v>0</v>
      </c>
      <c r="AB59">
        <v>2</v>
      </c>
      <c r="AC59">
        <v>2</v>
      </c>
      <c r="AD59">
        <v>0</v>
      </c>
      <c r="AE59">
        <v>0</v>
      </c>
    </row>
    <row r="60" spans="20:31" x14ac:dyDescent="0.15">
      <c r="T60">
        <f>MeanOfLogNormalCallOption(T$3,0,1,2)</f>
        <v>0</v>
      </c>
      <c r="U60">
        <f>MeanOfLogNormalCallOption(U$3,0,1,2)</f>
        <v>1.0514340398280893</v>
      </c>
      <c r="V60">
        <f t="shared" si="7"/>
        <v>0.20758810026251356</v>
      </c>
      <c r="W60">
        <f t="shared" si="7"/>
        <v>0.49833767351493036</v>
      </c>
      <c r="X60">
        <f t="shared" si="7"/>
        <v>0.54373607646677447</v>
      </c>
      <c r="Z60">
        <v>0.4</v>
      </c>
      <c r="AA60">
        <v>2</v>
      </c>
      <c r="AB60">
        <v>1</v>
      </c>
      <c r="AC60">
        <v>1</v>
      </c>
      <c r="AD60">
        <v>1</v>
      </c>
      <c r="AE60">
        <v>0</v>
      </c>
    </row>
    <row r="61" spans="20:31" x14ac:dyDescent="0.15">
      <c r="T61">
        <f>MeanOfLogNormalCallOption(T$3,0,1,2)</f>
        <v>0.39047955369919007</v>
      </c>
      <c r="U61">
        <f>MeanOfLogNormalCallOption(U$3,0,1,2)</f>
        <v>0.47666355739489247</v>
      </c>
      <c r="V61">
        <f t="shared" si="7"/>
        <v>0.51317122679480065</v>
      </c>
      <c r="W61">
        <f t="shared" si="7"/>
        <v>0.38907663220783967</v>
      </c>
      <c r="X61">
        <f t="shared" si="7"/>
        <v>0.53339596330336492</v>
      </c>
      <c r="Z61">
        <v>0.45</v>
      </c>
      <c r="AA61">
        <v>0</v>
      </c>
      <c r="AB61">
        <v>0</v>
      </c>
      <c r="AC61">
        <v>4</v>
      </c>
      <c r="AD61">
        <v>1</v>
      </c>
      <c r="AE61">
        <v>0</v>
      </c>
    </row>
    <row r="62" spans="20:31" x14ac:dyDescent="0.15">
      <c r="T62">
        <f>MeanOfLogNormalCallOption(T$3,0,1,2)</f>
        <v>7.7836842387215555E-3</v>
      </c>
      <c r="U62">
        <f>MeanOfLogNormalCallOption(U$3,0,1,2)</f>
        <v>0.18681621688169181</v>
      </c>
      <c r="V62">
        <f t="shared" si="7"/>
        <v>0.20325802319449554</v>
      </c>
      <c r="W62">
        <f t="shared" si="7"/>
        <v>0.56412673568372451</v>
      </c>
      <c r="X62">
        <f t="shared" si="7"/>
        <v>0.51272460033933254</v>
      </c>
      <c r="Z62">
        <v>0.5</v>
      </c>
      <c r="AA62">
        <v>0</v>
      </c>
      <c r="AB62">
        <v>1</v>
      </c>
      <c r="AC62">
        <v>0</v>
      </c>
      <c r="AD62">
        <v>3</v>
      </c>
      <c r="AE62">
        <v>4</v>
      </c>
    </row>
    <row r="63" spans="20:31" x14ac:dyDescent="0.15">
      <c r="T63">
        <f>MeanOfLogNormalCallOption(T$3,0,1,2)</f>
        <v>2.2790611049423681</v>
      </c>
      <c r="U63">
        <f>MeanOfLogNormalCallOption(U$3,0,1,2)</f>
        <v>8.6485107491519164E-2</v>
      </c>
      <c r="V63">
        <f t="shared" si="7"/>
        <v>0.56966514218848585</v>
      </c>
      <c r="W63">
        <f t="shared" si="7"/>
        <v>0.52586914085917569</v>
      </c>
      <c r="X63">
        <f t="shared" si="7"/>
        <v>0.51175128526296787</v>
      </c>
      <c r="Z63">
        <v>0.55000000000000004</v>
      </c>
      <c r="AA63">
        <v>0</v>
      </c>
      <c r="AB63">
        <v>0</v>
      </c>
      <c r="AC63">
        <v>2</v>
      </c>
      <c r="AD63">
        <v>8</v>
      </c>
      <c r="AE63">
        <v>12</v>
      </c>
    </row>
    <row r="64" spans="20:31" x14ac:dyDescent="0.15">
      <c r="T64">
        <f>MeanOfLogNormalCallOption(T$3,0,1,2)</f>
        <v>0</v>
      </c>
      <c r="U64">
        <f>MeanOfLogNormalCallOption(U$3,0,1,2)</f>
        <v>0.32866849033108836</v>
      </c>
      <c r="V64">
        <f t="shared" si="7"/>
        <v>0.41198589135804459</v>
      </c>
      <c r="W64">
        <f t="shared" si="7"/>
        <v>0.53225196147193665</v>
      </c>
      <c r="X64">
        <f t="shared" si="7"/>
        <v>0.56318884633320687</v>
      </c>
      <c r="Z64">
        <v>0.6</v>
      </c>
      <c r="AA64">
        <v>0</v>
      </c>
      <c r="AB64">
        <v>1</v>
      </c>
      <c r="AC64">
        <v>4</v>
      </c>
      <c r="AD64">
        <v>6</v>
      </c>
      <c r="AE64">
        <v>5</v>
      </c>
    </row>
    <row r="65" spans="20:31" x14ac:dyDescent="0.15">
      <c r="T65">
        <f>MeanOfLogNormalCallOption(T$3,0,1,2)</f>
        <v>0</v>
      </c>
      <c r="U65">
        <f>MeanOfLogNormalCallOption(U$3,0,1,2)</f>
        <v>0.16341651830162512</v>
      </c>
      <c r="V65">
        <f t="shared" si="7"/>
        <v>0.5667903332868961</v>
      </c>
      <c r="W65">
        <f t="shared" si="7"/>
        <v>0.42586689567148672</v>
      </c>
      <c r="X65">
        <f t="shared" si="7"/>
        <v>0.57746336943027432</v>
      </c>
      <c r="Z65">
        <v>0.65</v>
      </c>
      <c r="AA65">
        <v>0</v>
      </c>
      <c r="AB65">
        <v>0</v>
      </c>
      <c r="AC65">
        <v>2</v>
      </c>
      <c r="AD65">
        <v>1</v>
      </c>
      <c r="AE65">
        <v>0</v>
      </c>
    </row>
    <row r="66" spans="20:31" x14ac:dyDescent="0.15">
      <c r="T66">
        <f>MeanOfLogNormalCallOption(T$3,0,1,2)</f>
        <v>0</v>
      </c>
      <c r="U66">
        <f>MeanOfLogNormalCallOption(U$3,0,1,2)</f>
        <v>0.18344606461324311</v>
      </c>
      <c r="V66">
        <f t="shared" si="7"/>
        <v>0.3377501660944815</v>
      </c>
      <c r="W66">
        <f t="shared" si="7"/>
        <v>0.56835929067704705</v>
      </c>
      <c r="X66">
        <f t="shared" si="7"/>
        <v>0.53696413930878339</v>
      </c>
      <c r="Z66">
        <v>0.7</v>
      </c>
      <c r="AA66">
        <v>0</v>
      </c>
      <c r="AB66">
        <v>1</v>
      </c>
      <c r="AC66">
        <v>1</v>
      </c>
      <c r="AD66">
        <v>1</v>
      </c>
      <c r="AE66">
        <v>0</v>
      </c>
    </row>
    <row r="67" spans="20:31" x14ac:dyDescent="0.15">
      <c r="T67">
        <f>MeanOfLogNormalCallOption(T$3,0,1,2)</f>
        <v>0.86646060514516554</v>
      </c>
      <c r="U67">
        <f>MeanOfLogNormalCallOption(U$3,0,1,2)</f>
        <v>0.16861675526506686</v>
      </c>
      <c r="V67">
        <f t="shared" si="7"/>
        <v>0.5577109416754582</v>
      </c>
      <c r="W67">
        <f t="shared" si="7"/>
        <v>0.55858082568263212</v>
      </c>
      <c r="X67">
        <f t="shared" si="7"/>
        <v>0.56496589333738334</v>
      </c>
      <c r="Z67">
        <v>0.75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20:31" x14ac:dyDescent="0.15">
      <c r="T68">
        <f>MeanOfLogNormalCallOption(T$3,0,1,2)</f>
        <v>0</v>
      </c>
      <c r="U68">
        <f>MeanOfLogNormalCallOption(U$3,0,1,2)</f>
        <v>0</v>
      </c>
      <c r="V68">
        <f t="shared" si="7"/>
        <v>0.41177693129495219</v>
      </c>
      <c r="W68">
        <f t="shared" si="7"/>
        <v>0.51217782798903455</v>
      </c>
      <c r="X68">
        <f t="shared" si="7"/>
        <v>0.54506757963792296</v>
      </c>
      <c r="Z68">
        <v>0.8</v>
      </c>
      <c r="AA68">
        <v>0</v>
      </c>
      <c r="AB68">
        <v>1</v>
      </c>
      <c r="AC68">
        <v>1</v>
      </c>
      <c r="AD68">
        <v>0</v>
      </c>
      <c r="AE68">
        <v>0</v>
      </c>
    </row>
    <row r="69" spans="20:31" x14ac:dyDescent="0.15">
      <c r="T69">
        <f>MeanOfLogNormalCallOption(T$3,0,1,2)</f>
        <v>10.632109722094311</v>
      </c>
      <c r="U69">
        <f>MeanOfLogNormalCallOption(U$3,0,1,2)</f>
        <v>0.36228723430444665</v>
      </c>
      <c r="V69">
        <f t="shared" si="7"/>
        <v>0.31643024904834516</v>
      </c>
      <c r="W69">
        <f t="shared" si="7"/>
        <v>0.58302862330318017</v>
      </c>
      <c r="X69">
        <f t="shared" si="7"/>
        <v>0.53542588487308751</v>
      </c>
      <c r="Z69">
        <v>0.85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20:31" x14ac:dyDescent="0.15">
      <c r="T70">
        <f>MeanOfLogNormalCallOption(T$3,0,1,2)</f>
        <v>0</v>
      </c>
      <c r="U70">
        <f>MeanOfLogNormalCallOption(U$3,0,1,2)</f>
        <v>0.58255642778774475</v>
      </c>
      <c r="V70">
        <f t="shared" si="7"/>
        <v>0.66376321522018511</v>
      </c>
      <c r="W70">
        <f t="shared" si="7"/>
        <v>0.55749026358736342</v>
      </c>
      <c r="X70">
        <f t="shared" si="7"/>
        <v>0.49908598503997098</v>
      </c>
      <c r="Z70">
        <v>0.9</v>
      </c>
      <c r="AA70">
        <v>1</v>
      </c>
      <c r="AB70">
        <v>1</v>
      </c>
      <c r="AC70">
        <v>0</v>
      </c>
      <c r="AD70">
        <v>0</v>
      </c>
      <c r="AE70">
        <v>0</v>
      </c>
    </row>
    <row r="71" spans="20:31" x14ac:dyDescent="0.15">
      <c r="T71">
        <f>MeanOfLogNormalCallOption(T$3,0,1,2)</f>
        <v>0</v>
      </c>
      <c r="U71">
        <f>MeanOfLogNormalCallOption(U$3,0,1,2)</f>
        <v>0.30162256947915622</v>
      </c>
      <c r="V71">
        <f t="shared" si="7"/>
        <v>0.61477343306771315</v>
      </c>
      <c r="W71">
        <f t="shared" si="7"/>
        <v>0.52331712349160286</v>
      </c>
      <c r="X71">
        <f t="shared" si="7"/>
        <v>0.49567749351134743</v>
      </c>
      <c r="Z71">
        <v>0.95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20:31" x14ac:dyDescent="0.15">
      <c r="T72">
        <f>MeanOfLogNormalCallOption(T$3,0,1,2)</f>
        <v>0.35983476896609723</v>
      </c>
      <c r="U72">
        <f>MeanOfLogNormalCallOption(U$3,0,1,2)</f>
        <v>3.0270806651904003</v>
      </c>
      <c r="V72">
        <f t="shared" si="7"/>
        <v>0.78616255469764074</v>
      </c>
      <c r="W72">
        <f t="shared" si="7"/>
        <v>0.53744189168690859</v>
      </c>
      <c r="X72">
        <f t="shared" si="7"/>
        <v>0.53388528834109816</v>
      </c>
      <c r="Z72">
        <v>1</v>
      </c>
      <c r="AA72">
        <v>1</v>
      </c>
      <c r="AB72">
        <v>0</v>
      </c>
      <c r="AC72">
        <v>0</v>
      </c>
      <c r="AD72">
        <v>0</v>
      </c>
      <c r="AE72">
        <v>0</v>
      </c>
    </row>
    <row r="73" spans="20:31" x14ac:dyDescent="0.15">
      <c r="T73">
        <f>MeanOfLogNormalCallOption(T$3,0,1,2)</f>
        <v>0</v>
      </c>
      <c r="U73">
        <f>MeanOfLogNormalCallOption(U$3,0,1,2)</f>
        <v>0.79407520394540154</v>
      </c>
      <c r="V73">
        <f t="shared" si="7"/>
        <v>0.35061394043434874</v>
      </c>
      <c r="W73">
        <f t="shared" si="7"/>
        <v>0.62590242823956344</v>
      </c>
      <c r="X73">
        <f t="shared" si="7"/>
        <v>0.5308025506958558</v>
      </c>
      <c r="Z73">
        <v>1.05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20:31" x14ac:dyDescent="0.15">
      <c r="Z74">
        <v>1.1000000000000001</v>
      </c>
      <c r="AA74">
        <v>0</v>
      </c>
      <c r="AB74">
        <v>1</v>
      </c>
      <c r="AC74">
        <v>0</v>
      </c>
      <c r="AD74">
        <v>0</v>
      </c>
      <c r="AE74">
        <v>0</v>
      </c>
    </row>
    <row r="75" spans="20:31" x14ac:dyDescent="0.15">
      <c r="Z75">
        <v>1.1499999999999999</v>
      </c>
      <c r="AA75">
        <v>0</v>
      </c>
      <c r="AB75">
        <v>0</v>
      </c>
      <c r="AC75">
        <v>0</v>
      </c>
      <c r="AD75">
        <v>0</v>
      </c>
      <c r="AE75">
        <v>0</v>
      </c>
    </row>
    <row r="76" spans="20:31" x14ac:dyDescent="0.15">
      <c r="Z76">
        <v>1.2</v>
      </c>
      <c r="AA76">
        <v>0</v>
      </c>
      <c r="AB76">
        <v>0</v>
      </c>
      <c r="AC76">
        <v>0</v>
      </c>
      <c r="AD76">
        <v>0</v>
      </c>
      <c r="AE76">
        <v>0</v>
      </c>
    </row>
    <row r="77" spans="20:31" x14ac:dyDescent="0.15">
      <c r="Z77">
        <v>1.25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20:31" x14ac:dyDescent="0.15">
      <c r="Z78">
        <v>1.3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20:31" x14ac:dyDescent="0.15">
      <c r="Z79">
        <v>1.35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20:31" x14ac:dyDescent="0.15">
      <c r="Z80">
        <v>1.4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26:31" x14ac:dyDescent="0.15">
      <c r="Z81">
        <v>1.45</v>
      </c>
      <c r="AA81">
        <v>0</v>
      </c>
      <c r="AB81">
        <v>1</v>
      </c>
      <c r="AC81">
        <v>0</v>
      </c>
      <c r="AD81">
        <v>0</v>
      </c>
      <c r="AE81">
        <v>0</v>
      </c>
    </row>
    <row r="82" spans="26:31" x14ac:dyDescent="0.15">
      <c r="Z82">
        <v>1.5</v>
      </c>
      <c r="AA82">
        <v>0</v>
      </c>
      <c r="AB82">
        <v>0</v>
      </c>
      <c r="AC82">
        <v>0</v>
      </c>
      <c r="AD82">
        <v>0</v>
      </c>
      <c r="AE82">
        <v>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森本裕介</dc:creator>
  <cp:lastModifiedBy>森本裕介</cp:lastModifiedBy>
  <dcterms:created xsi:type="dcterms:W3CDTF">2017-03-05T15:42:06Z</dcterms:created>
  <dcterms:modified xsi:type="dcterms:W3CDTF">2017-03-14T14:53:51Z</dcterms:modified>
</cp:coreProperties>
</file>