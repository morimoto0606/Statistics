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im\Documents\GitHub\Statistics\"/>
    </mc:Choice>
  </mc:AlternateContent>
  <bookViews>
    <workbookView xWindow="0" yWindow="0" windowWidth="20490" windowHeight="777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2" i="1" l="1" a="1"/>
  <c r="AE82" i="1" s="1"/>
  <c r="AD52" i="1" a="1"/>
  <c r="AD82" i="1" s="1"/>
  <c r="AC52" i="1" a="1"/>
  <c r="AC82" i="1" s="1"/>
  <c r="AB52" i="1" a="1"/>
  <c r="AB52" i="1" s="1"/>
  <c r="AE46" i="1"/>
  <c r="AE42" i="1"/>
  <c r="AE38" i="1"/>
  <c r="AE34" i="1"/>
  <c r="AE30" i="1"/>
  <c r="AE28" i="1"/>
  <c r="AE28" i="1" a="1"/>
  <c r="AE49" i="1" s="1"/>
  <c r="AD28" i="1" a="1"/>
  <c r="AD49" i="1" s="1"/>
  <c r="AC49" i="1"/>
  <c r="AC48" i="1"/>
  <c r="AC46" i="1"/>
  <c r="AC45" i="1"/>
  <c r="AC44" i="1"/>
  <c r="AC42" i="1"/>
  <c r="AC41" i="1"/>
  <c r="AC40" i="1"/>
  <c r="AC38" i="1"/>
  <c r="AC37" i="1"/>
  <c r="AC36" i="1"/>
  <c r="AC34" i="1"/>
  <c r="AC33" i="1"/>
  <c r="AC32" i="1"/>
  <c r="AC30" i="1"/>
  <c r="AC29" i="1"/>
  <c r="AC28" i="1"/>
  <c r="AC28" i="1" a="1"/>
  <c r="AC47" i="1" s="1"/>
  <c r="AB28" i="1" a="1"/>
  <c r="AB28" i="1" s="1"/>
  <c r="K25" i="1"/>
  <c r="J25" i="1"/>
  <c r="I25" i="1"/>
  <c r="H25" i="1"/>
  <c r="K24" i="1"/>
  <c r="J24" i="1"/>
  <c r="I24" i="1"/>
  <c r="H24" i="1"/>
  <c r="K23" i="1"/>
  <c r="J23" i="1"/>
  <c r="I23" i="1"/>
  <c r="H23" i="1"/>
  <c r="K22" i="1"/>
  <c r="J22" i="1"/>
  <c r="I22" i="1"/>
  <c r="H22" i="1"/>
  <c r="K21" i="1"/>
  <c r="J21" i="1"/>
  <c r="I21" i="1"/>
  <c r="H21" i="1"/>
  <c r="K20" i="1"/>
  <c r="J20" i="1"/>
  <c r="I20" i="1"/>
  <c r="H20" i="1"/>
  <c r="K19" i="1"/>
  <c r="J19" i="1"/>
  <c r="I19" i="1"/>
  <c r="H19" i="1"/>
  <c r="K18" i="1"/>
  <c r="J18" i="1"/>
  <c r="I18" i="1"/>
  <c r="H18" i="1"/>
  <c r="K17" i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H14" i="1"/>
  <c r="K13" i="1"/>
  <c r="J13" i="1"/>
  <c r="I13" i="1"/>
  <c r="H13" i="1"/>
  <c r="K12" i="1"/>
  <c r="J12" i="1"/>
  <c r="I12" i="1"/>
  <c r="H12" i="1"/>
  <c r="K11" i="1"/>
  <c r="J11" i="1"/>
  <c r="I11" i="1"/>
  <c r="H11" i="1"/>
  <c r="K10" i="1"/>
  <c r="J10" i="1"/>
  <c r="I10" i="1"/>
  <c r="H10" i="1"/>
  <c r="K9" i="1"/>
  <c r="J9" i="1"/>
  <c r="I9" i="1"/>
  <c r="H9" i="1"/>
  <c r="K8" i="1"/>
  <c r="J8" i="1"/>
  <c r="I8" i="1"/>
  <c r="H8" i="1"/>
  <c r="K7" i="1"/>
  <c r="J7" i="1"/>
  <c r="I7" i="1"/>
  <c r="H7" i="1"/>
  <c r="K6" i="1"/>
  <c r="J6" i="1"/>
  <c r="I6" i="1"/>
  <c r="H6" i="1"/>
  <c r="K5" i="1"/>
  <c r="J5" i="1"/>
  <c r="I5" i="1"/>
  <c r="H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B6" i="1"/>
  <c r="Y53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Y72" i="1"/>
  <c r="Y71" i="1"/>
  <c r="Y69" i="1"/>
  <c r="Y67" i="1"/>
  <c r="Y65" i="1"/>
  <c r="Y63" i="1"/>
  <c r="Y61" i="1"/>
  <c r="Y59" i="1"/>
  <c r="Y57" i="1"/>
  <c r="Y55" i="1"/>
  <c r="X73" i="1"/>
  <c r="X72" i="1"/>
  <c r="X71" i="1"/>
  <c r="X70" i="1"/>
  <c r="X69" i="1"/>
  <c r="X67" i="1"/>
  <c r="X65" i="1"/>
  <c r="X63" i="1"/>
  <c r="X61" i="1"/>
  <c r="X59" i="1"/>
  <c r="X57" i="1"/>
  <c r="X55" i="1"/>
  <c r="X53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Y73" i="1"/>
  <c r="Y70" i="1"/>
  <c r="Y68" i="1"/>
  <c r="Y66" i="1"/>
  <c r="Y64" i="1"/>
  <c r="Y62" i="1"/>
  <c r="Y60" i="1"/>
  <c r="Y58" i="1"/>
  <c r="Y56" i="1"/>
  <c r="Y54" i="1"/>
  <c r="X68" i="1"/>
  <c r="X66" i="1"/>
  <c r="X64" i="1"/>
  <c r="X62" i="1"/>
  <c r="X60" i="1"/>
  <c r="X58" i="1"/>
  <c r="X56" i="1"/>
  <c r="X54" i="1"/>
  <c r="V53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Y48" i="1"/>
  <c r="Y46" i="1"/>
  <c r="Y44" i="1"/>
  <c r="Y43" i="1"/>
  <c r="Y41" i="1"/>
  <c r="Y39" i="1"/>
  <c r="Y37" i="1"/>
  <c r="Y35" i="1"/>
  <c r="Y33" i="1"/>
  <c r="Y31" i="1"/>
  <c r="Y29" i="1"/>
  <c r="X49" i="1"/>
  <c r="X48" i="1"/>
  <c r="X47" i="1"/>
  <c r="X46" i="1"/>
  <c r="X45" i="1"/>
  <c r="X44" i="1"/>
  <c r="X42" i="1"/>
  <c r="X41" i="1"/>
  <c r="X39" i="1"/>
  <c r="X37" i="1"/>
  <c r="X35" i="1"/>
  <c r="X33" i="1"/>
  <c r="X31" i="1"/>
  <c r="X29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Y49" i="1"/>
  <c r="Y47" i="1"/>
  <c r="Y45" i="1"/>
  <c r="Y42" i="1"/>
  <c r="Y40" i="1"/>
  <c r="Y38" i="1"/>
  <c r="Y36" i="1"/>
  <c r="Y34" i="1"/>
  <c r="Y32" i="1"/>
  <c r="Y30" i="1"/>
  <c r="X43" i="1"/>
  <c r="X40" i="1"/>
  <c r="X38" i="1"/>
  <c r="X36" i="1"/>
  <c r="X34" i="1"/>
  <c r="X32" i="1"/>
  <c r="X30" i="1"/>
  <c r="V29" i="1"/>
  <c r="Y24" i="1"/>
  <c r="Y20" i="1"/>
  <c r="Y16" i="1"/>
  <c r="Y12" i="1"/>
  <c r="Y8" i="1"/>
  <c r="Y4" i="1"/>
  <c r="Y17" i="1"/>
  <c r="Y13" i="1"/>
  <c r="Y5" i="1"/>
  <c r="Y23" i="1"/>
  <c r="Y19" i="1"/>
  <c r="Y15" i="1"/>
  <c r="Y11" i="1"/>
  <c r="Y7" i="1"/>
  <c r="Y22" i="1"/>
  <c r="Y18" i="1"/>
  <c r="Y14" i="1"/>
  <c r="Y10" i="1"/>
  <c r="Y6" i="1"/>
  <c r="Y21" i="1"/>
  <c r="Y9" i="1"/>
  <c r="X24" i="1"/>
  <c r="X22" i="1"/>
  <c r="X20" i="1"/>
  <c r="X18" i="1"/>
  <c r="X16" i="1"/>
  <c r="X14" i="1"/>
  <c r="X12" i="1"/>
  <c r="X10" i="1"/>
  <c r="X8" i="1"/>
  <c r="X6" i="1"/>
  <c r="X4" i="1"/>
  <c r="W19" i="1"/>
  <c r="W17" i="1"/>
  <c r="W11" i="1"/>
  <c r="W24" i="1"/>
  <c r="W22" i="1"/>
  <c r="W20" i="1"/>
  <c r="W18" i="1"/>
  <c r="W16" i="1"/>
  <c r="W14" i="1"/>
  <c r="W12" i="1"/>
  <c r="W10" i="1"/>
  <c r="W8" i="1"/>
  <c r="W6" i="1"/>
  <c r="W4" i="1"/>
  <c r="W21" i="1"/>
  <c r="W15" i="1"/>
  <c r="W9" i="1"/>
  <c r="W5" i="1"/>
  <c r="X23" i="1"/>
  <c r="X21" i="1"/>
  <c r="X19" i="1"/>
  <c r="X17" i="1"/>
  <c r="X15" i="1"/>
  <c r="X13" i="1"/>
  <c r="X11" i="1"/>
  <c r="X9" i="1"/>
  <c r="X7" i="1"/>
  <c r="X5" i="1"/>
  <c r="W23" i="1"/>
  <c r="W13" i="1"/>
  <c r="W7" i="1"/>
  <c r="V7" i="1"/>
  <c r="V11" i="1"/>
  <c r="V15" i="1"/>
  <c r="V19" i="1"/>
  <c r="V23" i="1"/>
  <c r="V14" i="1"/>
  <c r="V22" i="1"/>
  <c r="V8" i="1"/>
  <c r="V12" i="1"/>
  <c r="V16" i="1"/>
  <c r="V20" i="1"/>
  <c r="V24" i="1"/>
  <c r="V18" i="1"/>
  <c r="V9" i="1"/>
  <c r="V13" i="1"/>
  <c r="V17" i="1"/>
  <c r="V21" i="1"/>
  <c r="V10" i="1"/>
  <c r="V4" i="1"/>
  <c r="V5" i="1"/>
  <c r="V6" i="1"/>
  <c r="C6" i="1"/>
  <c r="AC55" i="1" l="1"/>
  <c r="AC59" i="1"/>
  <c r="AC63" i="1"/>
  <c r="AC67" i="1"/>
  <c r="AC71" i="1"/>
  <c r="AC75" i="1"/>
  <c r="AC79" i="1"/>
  <c r="AE79" i="1"/>
  <c r="AC53" i="1"/>
  <c r="AC57" i="1"/>
  <c r="AC61" i="1"/>
  <c r="AC65" i="1"/>
  <c r="AC69" i="1"/>
  <c r="AC73" i="1"/>
  <c r="AC77" i="1"/>
  <c r="AC81" i="1"/>
  <c r="AD53" i="1"/>
  <c r="AD57" i="1"/>
  <c r="AD61" i="1"/>
  <c r="AD65" i="1"/>
  <c r="AD69" i="1"/>
  <c r="AD73" i="1"/>
  <c r="AD77" i="1"/>
  <c r="AD81" i="1"/>
  <c r="AE53" i="1"/>
  <c r="AE57" i="1"/>
  <c r="AE61" i="1"/>
  <c r="AE65" i="1"/>
  <c r="AE69" i="1"/>
  <c r="AE73" i="1"/>
  <c r="AE77" i="1"/>
  <c r="AE81" i="1"/>
  <c r="AD55" i="1"/>
  <c r="AD59" i="1"/>
  <c r="AD63" i="1"/>
  <c r="AD67" i="1"/>
  <c r="AD71" i="1"/>
  <c r="AD75" i="1"/>
  <c r="AD79" i="1"/>
  <c r="AE55" i="1"/>
  <c r="AE59" i="1"/>
  <c r="AE63" i="1"/>
  <c r="AE67" i="1"/>
  <c r="AE71" i="1"/>
  <c r="AE75" i="1"/>
  <c r="AC52" i="1"/>
  <c r="AC56" i="1"/>
  <c r="AC60" i="1"/>
  <c r="AC64" i="1"/>
  <c r="AC68" i="1"/>
  <c r="AC72" i="1"/>
  <c r="AC76" i="1"/>
  <c r="AC80" i="1"/>
  <c r="AD52" i="1"/>
  <c r="AD56" i="1"/>
  <c r="AD60" i="1"/>
  <c r="AD64" i="1"/>
  <c r="AD68" i="1"/>
  <c r="AD72" i="1"/>
  <c r="AD76" i="1"/>
  <c r="AD80" i="1"/>
  <c r="AE52" i="1"/>
  <c r="AE56" i="1"/>
  <c r="AE60" i="1"/>
  <c r="AE64" i="1"/>
  <c r="AE68" i="1"/>
  <c r="AE72" i="1"/>
  <c r="AE76" i="1"/>
  <c r="AE80" i="1"/>
  <c r="AC54" i="1"/>
  <c r="AC58" i="1"/>
  <c r="AC62" i="1"/>
  <c r="AC66" i="1"/>
  <c r="AC70" i="1"/>
  <c r="AC74" i="1"/>
  <c r="AC78" i="1"/>
  <c r="AD54" i="1"/>
  <c r="AD58" i="1"/>
  <c r="AD62" i="1"/>
  <c r="AD66" i="1"/>
  <c r="AD70" i="1"/>
  <c r="AD74" i="1"/>
  <c r="AD78" i="1"/>
  <c r="AE54" i="1"/>
  <c r="AE58" i="1"/>
  <c r="AE62" i="1"/>
  <c r="AE66" i="1"/>
  <c r="AE70" i="1"/>
  <c r="AE74" i="1"/>
  <c r="AE78" i="1"/>
  <c r="AB79" i="1"/>
  <c r="AB75" i="1"/>
  <c r="AB71" i="1"/>
  <c r="AB67" i="1"/>
  <c r="AB63" i="1"/>
  <c r="AB59" i="1"/>
  <c r="AB55" i="1"/>
  <c r="AB82" i="1"/>
  <c r="AB78" i="1"/>
  <c r="AB74" i="1"/>
  <c r="AB70" i="1"/>
  <c r="AB66" i="1"/>
  <c r="AB62" i="1"/>
  <c r="AB58" i="1"/>
  <c r="AB54" i="1"/>
  <c r="AB81" i="1"/>
  <c r="AB77" i="1"/>
  <c r="AB73" i="1"/>
  <c r="AB69" i="1"/>
  <c r="AB65" i="1"/>
  <c r="AB61" i="1"/>
  <c r="AB57" i="1"/>
  <c r="AB53" i="1"/>
  <c r="AB80" i="1"/>
  <c r="AB76" i="1"/>
  <c r="AB72" i="1"/>
  <c r="AB68" i="1"/>
  <c r="AB64" i="1"/>
  <c r="AB60" i="1"/>
  <c r="AB56" i="1"/>
  <c r="AE31" i="1"/>
  <c r="AE35" i="1"/>
  <c r="AE39" i="1"/>
  <c r="AE43" i="1"/>
  <c r="AE47" i="1"/>
  <c r="AE32" i="1"/>
  <c r="AE36" i="1"/>
  <c r="AE40" i="1"/>
  <c r="AE44" i="1"/>
  <c r="AE48" i="1"/>
  <c r="AE29" i="1"/>
  <c r="AE33" i="1"/>
  <c r="AE37" i="1"/>
  <c r="AE41" i="1"/>
  <c r="AE45" i="1"/>
  <c r="AD31" i="1"/>
  <c r="AD35" i="1"/>
  <c r="AD39" i="1"/>
  <c r="AD43" i="1"/>
  <c r="AD47" i="1"/>
  <c r="AD30" i="1"/>
  <c r="AD38" i="1"/>
  <c r="AD46" i="1"/>
  <c r="AD28" i="1"/>
  <c r="AD32" i="1"/>
  <c r="AD36" i="1"/>
  <c r="AD40" i="1"/>
  <c r="AD44" i="1"/>
  <c r="AD48" i="1"/>
  <c r="AD34" i="1"/>
  <c r="AD42" i="1"/>
  <c r="AD29" i="1"/>
  <c r="AD33" i="1"/>
  <c r="AD37" i="1"/>
  <c r="AD41" i="1"/>
  <c r="AD45" i="1"/>
  <c r="AC31" i="1"/>
  <c r="AC35" i="1"/>
  <c r="AC39" i="1"/>
  <c r="AC43" i="1"/>
  <c r="AB47" i="1"/>
  <c r="AB43" i="1"/>
  <c r="AB31" i="1"/>
  <c r="AB46" i="1"/>
  <c r="AB42" i="1"/>
  <c r="AB38" i="1"/>
  <c r="AB34" i="1"/>
  <c r="AB30" i="1"/>
  <c r="AB39" i="1"/>
  <c r="AB49" i="1"/>
  <c r="AB45" i="1"/>
  <c r="AB41" i="1"/>
  <c r="AB37" i="1"/>
  <c r="AB33" i="1"/>
  <c r="AB29" i="1"/>
  <c r="AB35" i="1"/>
  <c r="AB48" i="1"/>
  <c r="AB44" i="1"/>
  <c r="AB40" i="1"/>
  <c r="AB36" i="1"/>
  <c r="AB32" i="1"/>
  <c r="AB4" i="1" a="1"/>
  <c r="AB4" i="1" s="1"/>
  <c r="AC4" i="1" a="1"/>
  <c r="AC4" i="1" s="1"/>
  <c r="AD4" i="1" a="1"/>
  <c r="AD4" i="1" s="1"/>
  <c r="AE4" i="1" a="1"/>
  <c r="AE25" i="1" s="1"/>
  <c r="AD23" i="1"/>
  <c r="AD7" i="1"/>
  <c r="AD6" i="1"/>
  <c r="AD17" i="1"/>
  <c r="AD24" i="1"/>
  <c r="AD12" i="1"/>
  <c r="AC25" i="1"/>
  <c r="AC21" i="1"/>
  <c r="AC17" i="1"/>
  <c r="AC9" i="1"/>
  <c r="AC5" i="1"/>
  <c r="AC23" i="1"/>
  <c r="AC15" i="1"/>
  <c r="AC11" i="1"/>
  <c r="AC7" i="1"/>
  <c r="AC18" i="1"/>
  <c r="AC14" i="1"/>
  <c r="AC10" i="1"/>
  <c r="AC24" i="1"/>
  <c r="AC20" i="1"/>
  <c r="AC16" i="1"/>
  <c r="AC8" i="1"/>
  <c r="AB11" i="1"/>
  <c r="AB22" i="1"/>
  <c r="AB18" i="1"/>
  <c r="AB14" i="1"/>
  <c r="AB10" i="1"/>
  <c r="AB6" i="1"/>
  <c r="AB25" i="1"/>
  <c r="AB21" i="1"/>
  <c r="AB17" i="1"/>
  <c r="AB13" i="1"/>
  <c r="AB9" i="1"/>
  <c r="AB5" i="1"/>
  <c r="AB23" i="1"/>
  <c r="AB19" i="1"/>
  <c r="AB15" i="1"/>
  <c r="AB7" i="1"/>
  <c r="AB24" i="1"/>
  <c r="AB20" i="1"/>
  <c r="AB16" i="1"/>
  <c r="AB12" i="1"/>
  <c r="AB8" i="1"/>
  <c r="AD11" i="1" l="1"/>
  <c r="AD10" i="1"/>
  <c r="AC12" i="1"/>
  <c r="AC6" i="1"/>
  <c r="AC22" i="1"/>
  <c r="AC19" i="1"/>
  <c r="AC13" i="1"/>
  <c r="AD8" i="1"/>
  <c r="AD13" i="1"/>
  <c r="AD22" i="1"/>
  <c r="AD16" i="1"/>
  <c r="AD5" i="1"/>
  <c r="AD21" i="1"/>
  <c r="AD14" i="1"/>
  <c r="AD15" i="1"/>
  <c r="AD20" i="1"/>
  <c r="AD9" i="1"/>
  <c r="AD25" i="1"/>
  <c r="AD18" i="1"/>
  <c r="AD19" i="1"/>
  <c r="AE17" i="1"/>
  <c r="AE18" i="1"/>
  <c r="AE16" i="1"/>
  <c r="AE22" i="1"/>
  <c r="AE19" i="1"/>
  <c r="AE13" i="1"/>
  <c r="AE10" i="1"/>
  <c r="AE12" i="1"/>
  <c r="AE14" i="1"/>
  <c r="AE15" i="1"/>
  <c r="AE9" i="1"/>
  <c r="AE24" i="1"/>
  <c r="AE8" i="1"/>
  <c r="AE6" i="1"/>
  <c r="AE11" i="1"/>
  <c r="AE21" i="1"/>
  <c r="AE5" i="1"/>
  <c r="AE20" i="1"/>
  <c r="AE4" i="1"/>
  <c r="AE23" i="1"/>
  <c r="AE7" i="1"/>
</calcChain>
</file>

<file path=xl/sharedStrings.xml><?xml version="1.0" encoding="utf-8"?>
<sst xmlns="http://schemas.openxmlformats.org/spreadsheetml/2006/main" count="3" uniqueCount="3">
  <si>
    <t>x</t>
    <phoneticPr fontId="2"/>
  </si>
  <si>
    <t>P(x&lt;a)=e-la</t>
    <phoneticPr fontId="2"/>
  </si>
  <si>
    <t>Gauss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</si>
</sst>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">
    <xf numFmtId="0" fontId="0" fillId="0" borderId="0" xfId="0">
      <alignment vertic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正規分布と</a:t>
            </a:r>
            <a:r>
              <a:rPr lang="en-US" altLang="ja-JP"/>
              <a:t>t</a:t>
            </a:r>
            <a:r>
              <a:rPr lang="en-US" altLang="ja-JP" baseline="0"/>
              <a:t> </a:t>
            </a:r>
            <a:r>
              <a:rPr lang="ja-JP" altLang="en-US" baseline="0"/>
              <a:t>分布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Sheet1!$G$4</c:f>
              <c:strCache>
                <c:ptCount val="1"/>
                <c:pt idx="0">
                  <c:v>Gauss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Sheet1!$G$5:$G$25</c:f>
              <c:numCache>
                <c:formatCode>General</c:formatCode>
                <c:ptCount val="21"/>
                <c:pt idx="0">
                  <c:v>1.4867195147342977E-6</c:v>
                </c:pt>
                <c:pt idx="1">
                  <c:v>1.5983741106905475E-5</c:v>
                </c:pt>
                <c:pt idx="2">
                  <c:v>1.3383022576488537E-4</c:v>
                </c:pt>
                <c:pt idx="3">
                  <c:v>8.7268269504576015E-4</c:v>
                </c:pt>
                <c:pt idx="4">
                  <c:v>4.4318484119380075E-3</c:v>
                </c:pt>
                <c:pt idx="5">
                  <c:v>1.752830049356854E-2</c:v>
                </c:pt>
                <c:pt idx="6">
                  <c:v>5.3990966513188063E-2</c:v>
                </c:pt>
                <c:pt idx="7">
                  <c:v>0.12951759566589174</c:v>
                </c:pt>
                <c:pt idx="8">
                  <c:v>0.24197072451914337</c:v>
                </c:pt>
                <c:pt idx="9">
                  <c:v>0.35206532676429952</c:v>
                </c:pt>
                <c:pt idx="10">
                  <c:v>0.3989422804014327</c:v>
                </c:pt>
                <c:pt idx="11">
                  <c:v>0.35206532676429952</c:v>
                </c:pt>
                <c:pt idx="12">
                  <c:v>0.24197072451914337</c:v>
                </c:pt>
                <c:pt idx="13">
                  <c:v>0.12951759566589174</c:v>
                </c:pt>
                <c:pt idx="14">
                  <c:v>5.3990966513188063E-2</c:v>
                </c:pt>
                <c:pt idx="15">
                  <c:v>1.752830049356854E-2</c:v>
                </c:pt>
                <c:pt idx="16">
                  <c:v>4.4318484119380075E-3</c:v>
                </c:pt>
                <c:pt idx="17">
                  <c:v>8.7268269504576015E-4</c:v>
                </c:pt>
                <c:pt idx="18">
                  <c:v>1.3383022576488537E-4</c:v>
                </c:pt>
                <c:pt idx="19">
                  <c:v>1.5983741106905475E-5</c:v>
                </c:pt>
                <c:pt idx="20">
                  <c:v>1.4867195147342977E-6</c:v>
                </c:pt>
              </c:numCache>
            </c:numRef>
          </c:val>
        </c:ser>
        <c:ser>
          <c:idx val="1"/>
          <c:order val="1"/>
          <c:tx>
            <c:strRef>
              <c:f>Sheet1!$H$4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Sheet1!$H$5:$H$25</c:f>
              <c:numCache>
                <c:formatCode>General</c:formatCode>
                <c:ptCount val="21"/>
                <c:pt idx="0">
                  <c:v>3.960010564637988E-4</c:v>
                </c:pt>
                <c:pt idx="1">
                  <c:v>8.8324462669310902E-4</c:v>
                </c:pt>
                <c:pt idx="2">
                  <c:v>2.0310339110412167E-3</c:v>
                </c:pt>
                <c:pt idx="3">
                  <c:v>4.7836071267013227E-3</c:v>
                </c:pt>
                <c:pt idx="4">
                  <c:v>1.1400549464542524E-2</c:v>
                </c:pt>
                <c:pt idx="5">
                  <c:v>2.6938727628244463E-2</c:v>
                </c:pt>
                <c:pt idx="6">
                  <c:v>6.1145766321218181E-2</c:v>
                </c:pt>
                <c:pt idx="7">
                  <c:v>0.12744479428709171</c:v>
                </c:pt>
                <c:pt idx="8">
                  <c:v>0.23036198922913867</c:v>
                </c:pt>
                <c:pt idx="9">
                  <c:v>0.33969513635207788</c:v>
                </c:pt>
                <c:pt idx="10">
                  <c:v>0.38910838396603115</c:v>
                </c:pt>
                <c:pt idx="11">
                  <c:v>0.33969513635207788</c:v>
                </c:pt>
                <c:pt idx="12">
                  <c:v>0.23036198922913867</c:v>
                </c:pt>
                <c:pt idx="13">
                  <c:v>0.12744479428709171</c:v>
                </c:pt>
                <c:pt idx="14">
                  <c:v>6.1145766321218181E-2</c:v>
                </c:pt>
                <c:pt idx="15">
                  <c:v>2.6938727628244463E-2</c:v>
                </c:pt>
                <c:pt idx="16">
                  <c:v>1.1400549464542524E-2</c:v>
                </c:pt>
                <c:pt idx="17">
                  <c:v>4.7836071267013227E-3</c:v>
                </c:pt>
                <c:pt idx="18">
                  <c:v>2.0310339110412167E-3</c:v>
                </c:pt>
                <c:pt idx="19">
                  <c:v>8.8324462669310902E-4</c:v>
                </c:pt>
                <c:pt idx="20">
                  <c:v>3.960010564637988E-4</c:v>
                </c:pt>
              </c:numCache>
            </c:numRef>
          </c:val>
        </c:ser>
        <c:ser>
          <c:idx val="2"/>
          <c:order val="2"/>
          <c:tx>
            <c:strRef>
              <c:f>Sheet1!$I$4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Sheet1!$I$5:$I$25</c:f>
              <c:numCache>
                <c:formatCode>General</c:formatCode>
                <c:ptCount val="21"/>
                <c:pt idx="0">
                  <c:v>3.2888902052922403E-5</c:v>
                </c:pt>
                <c:pt idx="1">
                  <c:v>1.3337119368780277E-4</c:v>
                </c:pt>
                <c:pt idx="2">
                  <c:v>5.2471644019740798E-4</c:v>
                </c:pt>
                <c:pt idx="3">
                  <c:v>1.9604555808020938E-3</c:v>
                </c:pt>
                <c:pt idx="4">
                  <c:v>6.7790627460931003E-3</c:v>
                </c:pt>
                <c:pt idx="5">
                  <c:v>2.1057019220621639E-2</c:v>
                </c:pt>
                <c:pt idx="6">
                  <c:v>5.6852275047197962E-2</c:v>
                </c:pt>
                <c:pt idx="7">
                  <c:v>0.12896160173967178</c:v>
                </c:pt>
                <c:pt idx="8">
                  <c:v>0.23799334232287983</c:v>
                </c:pt>
                <c:pt idx="9">
                  <c:v>0.34787857969720454</c:v>
                </c:pt>
                <c:pt idx="10">
                  <c:v>0.39563218489409779</c:v>
                </c:pt>
                <c:pt idx="11">
                  <c:v>0.34787857969720454</c:v>
                </c:pt>
                <c:pt idx="12">
                  <c:v>0.23799334232287983</c:v>
                </c:pt>
                <c:pt idx="13">
                  <c:v>0.12896160173967178</c:v>
                </c:pt>
                <c:pt idx="14">
                  <c:v>5.6852275047197962E-2</c:v>
                </c:pt>
                <c:pt idx="15">
                  <c:v>2.1057019220621639E-2</c:v>
                </c:pt>
                <c:pt idx="16">
                  <c:v>6.7790627460931003E-3</c:v>
                </c:pt>
                <c:pt idx="17">
                  <c:v>1.9604555808020938E-3</c:v>
                </c:pt>
                <c:pt idx="18">
                  <c:v>5.2471644019740798E-4</c:v>
                </c:pt>
                <c:pt idx="19">
                  <c:v>1.3337119368780277E-4</c:v>
                </c:pt>
                <c:pt idx="20">
                  <c:v>3.2888902052922403E-5</c:v>
                </c:pt>
              </c:numCache>
            </c:numRef>
          </c:val>
        </c:ser>
        <c:ser>
          <c:idx val="3"/>
          <c:order val="3"/>
          <c:tx>
            <c:strRef>
              <c:f>Sheet1!$J$4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Sheet1!$J$5:$J$25</c:f>
              <c:numCache>
                <c:formatCode>General</c:formatCode>
                <c:ptCount val="21"/>
                <c:pt idx="0">
                  <c:v>1.2835465750193539E-5</c:v>
                </c:pt>
                <c:pt idx="1">
                  <c:v>6.8075755523533101E-5</c:v>
                </c:pt>
                <c:pt idx="2">
                  <c:v>3.3427468818049395E-4</c:v>
                </c:pt>
                <c:pt idx="3">
                  <c:v>1.4856628942363083E-3</c:v>
                </c:pt>
                <c:pt idx="4">
                  <c:v>5.8310605583565224E-3</c:v>
                </c:pt>
                <c:pt idx="5">
                  <c:v>1.9694702081706587E-2</c:v>
                </c:pt>
                <c:pt idx="6">
                  <c:v>5.5774151649800992E-2</c:v>
                </c:pt>
                <c:pt idx="7">
                  <c:v>0.12920321834422047</c:v>
                </c:pt>
                <c:pt idx="8">
                  <c:v>0.2395710620586905</c:v>
                </c:pt>
                <c:pt idx="9">
                  <c:v>0.34954586046517899</c:v>
                </c:pt>
                <c:pt idx="10">
                  <c:v>0.3969526797311142</c:v>
                </c:pt>
                <c:pt idx="11">
                  <c:v>0.34954586046517899</c:v>
                </c:pt>
                <c:pt idx="12">
                  <c:v>0.2395710620586905</c:v>
                </c:pt>
                <c:pt idx="13">
                  <c:v>0.12920321834422047</c:v>
                </c:pt>
                <c:pt idx="14">
                  <c:v>5.5774151649800992E-2</c:v>
                </c:pt>
                <c:pt idx="15">
                  <c:v>1.9694702081706587E-2</c:v>
                </c:pt>
                <c:pt idx="16">
                  <c:v>5.8310605583565224E-3</c:v>
                </c:pt>
                <c:pt idx="17">
                  <c:v>1.4856628942363083E-3</c:v>
                </c:pt>
                <c:pt idx="18">
                  <c:v>3.3427468818049395E-4</c:v>
                </c:pt>
                <c:pt idx="19">
                  <c:v>6.8075755523533101E-5</c:v>
                </c:pt>
                <c:pt idx="20">
                  <c:v>1.2835465750193539E-5</c:v>
                </c:pt>
              </c:numCache>
            </c:numRef>
          </c:val>
        </c:ser>
        <c:ser>
          <c:idx val="4"/>
          <c:order val="4"/>
          <c:tx>
            <c:strRef>
              <c:f>Sheet1!$K$4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Sheet1!$F$5:$F$25</c:f>
              <c:numCache>
                <c:formatCode>General</c:formatCode>
                <c:ptCount val="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</c:numCache>
            </c:numRef>
          </c:cat>
          <c:val>
            <c:numRef>
              <c:f>Sheet1!$K$5:$K$25</c:f>
              <c:numCache>
                <c:formatCode>General</c:formatCode>
                <c:ptCount val="21"/>
                <c:pt idx="0">
                  <c:v>5.0800582347272843E-6</c:v>
                </c:pt>
                <c:pt idx="1">
                  <c:v>3.5935819475144766E-5</c:v>
                </c:pt>
                <c:pt idx="2">
                  <c:v>2.2115455654062892E-4</c:v>
                </c:pt>
                <c:pt idx="3">
                  <c:v>1.1625554838789979E-3</c:v>
                </c:pt>
                <c:pt idx="4">
                  <c:v>5.1260897023202509E-3</c:v>
                </c:pt>
                <c:pt idx="5">
                  <c:v>1.8630003746412823E-2</c:v>
                </c:pt>
                <c:pt idx="6">
                  <c:v>5.490864329540969E-2</c:v>
                </c:pt>
                <c:pt idx="7">
                  <c:v>0.12936799740683039</c:v>
                </c:pt>
                <c:pt idx="8">
                  <c:v>0.240765896928546</c:v>
                </c:pt>
                <c:pt idx="9">
                  <c:v>0.35080283339233032</c:v>
                </c:pt>
                <c:pt idx="10">
                  <c:v>0.39794618693589384</c:v>
                </c:pt>
                <c:pt idx="11">
                  <c:v>0.35080283339233032</c:v>
                </c:pt>
                <c:pt idx="12">
                  <c:v>0.240765896928546</c:v>
                </c:pt>
                <c:pt idx="13">
                  <c:v>0.12936799740683039</c:v>
                </c:pt>
                <c:pt idx="14">
                  <c:v>5.490864329540969E-2</c:v>
                </c:pt>
                <c:pt idx="15">
                  <c:v>1.8630003746412823E-2</c:v>
                </c:pt>
                <c:pt idx="16">
                  <c:v>5.1260897023202509E-3</c:v>
                </c:pt>
                <c:pt idx="17">
                  <c:v>1.1625554838789979E-3</c:v>
                </c:pt>
                <c:pt idx="18">
                  <c:v>2.2115455654062892E-4</c:v>
                </c:pt>
                <c:pt idx="19">
                  <c:v>3.5935819475144766E-5</c:v>
                </c:pt>
                <c:pt idx="20">
                  <c:v>5.0800582347272843E-6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091400"/>
        <c:axId val="561084344"/>
      </c:barChart>
      <c:catAx>
        <c:axId val="56109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1084344"/>
        <c:crosses val="autoZero"/>
        <c:auto val="1"/>
        <c:lblAlgn val="ctr"/>
        <c:lblOffset val="100"/>
        <c:noMultiLvlLbl val="0"/>
      </c:catAx>
      <c:valAx>
        <c:axId val="56108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109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CallOptionPrice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Sheet1!$AA$52:$AA$78</c:f>
              <c:numCache>
                <c:formatCode>General</c:formatCode>
                <c:ptCount val="2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</c:numCache>
            </c:numRef>
          </c:cat>
          <c:val>
            <c:numRef>
              <c:f>Sheet1!$AB$52:$AB$78</c:f>
              <c:numCache>
                <c:formatCode>General</c:formatCode>
                <c:ptCount val="27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Sheet1!$AA$52:$AA$78</c:f>
              <c:numCache>
                <c:formatCode>General</c:formatCode>
                <c:ptCount val="2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</c:numCache>
            </c:numRef>
          </c:cat>
          <c:val>
            <c:numRef>
              <c:f>Sheet1!$AC$52:$AC$78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Sheet1!$AA$52:$AA$78</c:f>
              <c:numCache>
                <c:formatCode>General</c:formatCode>
                <c:ptCount val="2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</c:numCache>
            </c:numRef>
          </c:cat>
          <c:val>
            <c:numRef>
              <c:f>Sheet1!$AD$52:$AD$78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11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Sheet1!$AA$52:$AA$78</c:f>
              <c:numCache>
                <c:formatCode>General</c:formatCode>
                <c:ptCount val="2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</c:numCache>
            </c:numRef>
          </c:cat>
          <c:val>
            <c:numRef>
              <c:f>Sheet1!$AE$52:$AE$78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247472"/>
        <c:axId val="550244728"/>
      </c:barChart>
      <c:catAx>
        <c:axId val="55024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0244728"/>
        <c:crosses val="autoZero"/>
        <c:auto val="1"/>
        <c:lblAlgn val="ctr"/>
        <c:lblOffset val="100"/>
        <c:noMultiLvlLbl val="0"/>
      </c:catAx>
      <c:valAx>
        <c:axId val="55024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024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指数分布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Sheet1!$AB$3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Sheet1!$AA$4:$AA$24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Sheet1!$AB$4:$AB$24</c:f>
              <c:numCache>
                <c:formatCode>General</c:formatCode>
                <c:ptCount val="21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Sheet1!$AC$3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Sheet1!$AA$4:$AA$24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Sheet1!$AC$4:$AC$24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Sheet1!$AD$3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Sheet1!$AA$4:$AA$24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Sheet1!$AD$4:$AD$24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8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Sheet1!$AE$3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Sheet1!$AA$4:$AA$24</c:f>
              <c:numCache>
                <c:formatCode>General</c:formatCode>
                <c:ptCount val="21"/>
                <c:pt idx="0">
                  <c:v>0.4</c:v>
                </c:pt>
                <c:pt idx="1">
                  <c:v>0.41</c:v>
                </c:pt>
                <c:pt idx="2">
                  <c:v>0.42</c:v>
                </c:pt>
                <c:pt idx="3">
                  <c:v>0.43</c:v>
                </c:pt>
                <c:pt idx="4">
                  <c:v>0.44</c:v>
                </c:pt>
                <c:pt idx="5">
                  <c:v>0.45</c:v>
                </c:pt>
                <c:pt idx="6">
                  <c:v>0.46</c:v>
                </c:pt>
                <c:pt idx="7">
                  <c:v>0.47</c:v>
                </c:pt>
                <c:pt idx="8">
                  <c:v>0.48</c:v>
                </c:pt>
                <c:pt idx="9">
                  <c:v>0.49</c:v>
                </c:pt>
                <c:pt idx="10">
                  <c:v>0.5</c:v>
                </c:pt>
                <c:pt idx="11">
                  <c:v>0.50999999999999901</c:v>
                </c:pt>
                <c:pt idx="12">
                  <c:v>0.51999999999999902</c:v>
                </c:pt>
                <c:pt idx="13">
                  <c:v>0.52999999999999903</c:v>
                </c:pt>
                <c:pt idx="14">
                  <c:v>0.53999999999999904</c:v>
                </c:pt>
                <c:pt idx="15">
                  <c:v>0.54999999999999905</c:v>
                </c:pt>
                <c:pt idx="16">
                  <c:v>0.55999999999999905</c:v>
                </c:pt>
                <c:pt idx="17">
                  <c:v>0.56999999999999895</c:v>
                </c:pt>
                <c:pt idx="18">
                  <c:v>0.57999999999999896</c:v>
                </c:pt>
                <c:pt idx="19">
                  <c:v>0.58999999999999897</c:v>
                </c:pt>
                <c:pt idx="20">
                  <c:v>0.59999999999999898</c:v>
                </c:pt>
              </c:numCache>
            </c:numRef>
          </c:cat>
          <c:val>
            <c:numRef>
              <c:f>Sheet1!$AE$4:$AE$24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9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960680"/>
        <c:axId val="553962640"/>
      </c:barChart>
      <c:catAx>
        <c:axId val="553960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962640"/>
        <c:crosses val="autoZero"/>
        <c:auto val="1"/>
        <c:lblAlgn val="ctr"/>
        <c:lblOffset val="100"/>
        <c:noMultiLvlLbl val="0"/>
      </c:catAx>
      <c:valAx>
        <c:axId val="55396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96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対数正規分布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Sheet1!$AB$27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Sheet1!$AA$28:$AA$48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Sheet1!$AB$28:$AB$48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Sheet1!$AC$27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Sheet1!$AA$28:$AA$48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Sheet1!$AC$28:$AC$48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Sheet1!$AD$27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Sheet1!$AA$28:$AA$48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Sheet1!$AD$28:$AD$48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Sheet1!$AE$27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Sheet1!$AA$28:$AA$48</c:f>
              <c:numCache>
                <c:formatCode>General</c:formatCode>
                <c:ptCount val="21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2.1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2.4</c:v>
                </c:pt>
                <c:pt idx="20">
                  <c:v>2.5</c:v>
                </c:pt>
              </c:numCache>
            </c:numRef>
          </c:cat>
          <c:val>
            <c:numRef>
              <c:f>Sheet1!$AE$28:$AE$48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15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074152"/>
        <c:axId val="561080424"/>
      </c:barChart>
      <c:catAx>
        <c:axId val="561074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1080424"/>
        <c:crosses val="autoZero"/>
        <c:auto val="1"/>
        <c:lblAlgn val="ctr"/>
        <c:lblOffset val="100"/>
        <c:noMultiLvlLbl val="0"/>
      </c:catAx>
      <c:valAx>
        <c:axId val="56108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107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</xdr:row>
      <xdr:rowOff>114300</xdr:rowOff>
    </xdr:from>
    <xdr:to>
      <xdr:col>18</xdr:col>
      <xdr:colOff>466725</xdr:colOff>
      <xdr:row>18</xdr:row>
      <xdr:rowOff>114300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54</xdr:row>
      <xdr:rowOff>104775</xdr:rowOff>
    </xdr:from>
    <xdr:to>
      <xdr:col>30</xdr:col>
      <xdr:colOff>457200</xdr:colOff>
      <xdr:row>70</xdr:row>
      <xdr:rowOff>104775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219075</xdr:colOff>
      <xdr:row>6</xdr:row>
      <xdr:rowOff>66675</xdr:rowOff>
    </xdr:from>
    <xdr:to>
      <xdr:col>30</xdr:col>
      <xdr:colOff>676275</xdr:colOff>
      <xdr:row>22</xdr:row>
      <xdr:rowOff>66675</xdr:rowOff>
    </xdr:to>
    <xdr:graphicFrame macro="">
      <xdr:nvGraphicFramePr>
        <xdr:cNvPr id="12" name="グラフ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0</xdr:colOff>
      <xdr:row>28</xdr:row>
      <xdr:rowOff>104775</xdr:rowOff>
    </xdr:from>
    <xdr:to>
      <xdr:col>30</xdr:col>
      <xdr:colOff>457200</xdr:colOff>
      <xdr:row>44</xdr:row>
      <xdr:rowOff>104775</xdr:rowOff>
    </xdr:to>
    <xdr:graphicFrame macro="">
      <xdr:nvGraphicFramePr>
        <xdr:cNvPr id="13" name="グラフ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82"/>
  <sheetViews>
    <sheetView tabSelected="1" topLeftCell="AA1" workbookViewId="0">
      <selection activeCell="AI19" sqref="AI19"/>
    </sheetView>
  </sheetViews>
  <sheetFormatPr defaultRowHeight="13.5" x14ac:dyDescent="0.15"/>
  <cols>
    <col min="7" max="8" width="12.75" bestFit="1" customWidth="1"/>
  </cols>
  <sheetData>
    <row r="3" spans="2:31" x14ac:dyDescent="0.15">
      <c r="V3">
        <v>10</v>
      </c>
      <c r="W3">
        <v>100</v>
      </c>
      <c r="X3">
        <v>1000</v>
      </c>
      <c r="Y3">
        <v>5000</v>
      </c>
      <c r="AB3">
        <v>10</v>
      </c>
      <c r="AC3">
        <v>100</v>
      </c>
      <c r="AD3">
        <v>1000</v>
      </c>
      <c r="AE3">
        <v>5000</v>
      </c>
    </row>
    <row r="4" spans="2:31" x14ac:dyDescent="0.15">
      <c r="B4" t="s">
        <v>0</v>
      </c>
      <c r="C4" t="s">
        <v>1</v>
      </c>
      <c r="G4" t="s">
        <v>2</v>
      </c>
      <c r="H4">
        <v>10</v>
      </c>
      <c r="I4">
        <v>30</v>
      </c>
      <c r="J4">
        <v>50</v>
      </c>
      <c r="K4">
        <v>100</v>
      </c>
      <c r="V4">
        <f>MeanOfExp(V$3,2)</f>
        <v>0.39064730094607719</v>
      </c>
      <c r="W4">
        <f t="shared" ref="W4:Y4" si="0">MeanOfExp(W$3,2)</f>
        <v>0.57892046410787845</v>
      </c>
      <c r="X4">
        <f t="shared" si="0"/>
        <v>0.49696265986736804</v>
      </c>
      <c r="Y4">
        <f t="shared" si="0"/>
        <v>0.49197094183581075</v>
      </c>
      <c r="AA4">
        <v>0.4</v>
      </c>
      <c r="AB4">
        <f t="array" ref="AB4:AB25">FREQUENCY(V4:V24,$AA$4:$AA$24)</f>
        <v>7</v>
      </c>
      <c r="AC4">
        <f t="array" ref="AC4:AC25">FREQUENCY(W4:W24,$AA$4:$AA$24)</f>
        <v>0</v>
      </c>
      <c r="AD4">
        <f t="array" ref="AD4:AD25">FREQUENCY(X4:X24,$AA$4:$AA$24)</f>
        <v>0</v>
      </c>
      <c r="AE4">
        <f t="array" ref="AE4:AE25">FREQUENCY(Y4:Y24,$AA$4:$AA$24)</f>
        <v>0</v>
      </c>
    </row>
    <row r="5" spans="2:31" x14ac:dyDescent="0.15">
      <c r="F5">
        <v>-5</v>
      </c>
      <c r="G5">
        <f>_xlfn.NORM.DIST(F5,0,1,FALSE)</f>
        <v>1.4867195147342977E-6</v>
      </c>
      <c r="H5">
        <f>_xlfn.T.DIST($F5,H$4,FALSE)</f>
        <v>3.960010564637988E-4</v>
      </c>
      <c r="I5">
        <f t="shared" ref="I5:K25" si="1">_xlfn.T.DIST($F5,I$4,FALSE)</f>
        <v>3.2888902052922403E-5</v>
      </c>
      <c r="J5">
        <f t="shared" si="1"/>
        <v>1.2835465750193539E-5</v>
      </c>
      <c r="K5">
        <f t="shared" si="1"/>
        <v>5.0800582347272843E-6</v>
      </c>
      <c r="V5">
        <f t="shared" ref="V5:Y24" si="2">MeanOfExp(V$3,2)</f>
        <v>0.57353574754381853</v>
      </c>
      <c r="W5">
        <f t="shared" si="2"/>
        <v>0.54292150836182251</v>
      </c>
      <c r="X5">
        <f t="shared" si="2"/>
        <v>0.52412462007900573</v>
      </c>
      <c r="Y5">
        <f t="shared" si="2"/>
        <v>0.49677712281432512</v>
      </c>
      <c r="AA5">
        <v>0.41</v>
      </c>
      <c r="AB5">
        <v>1</v>
      </c>
      <c r="AC5">
        <v>0</v>
      </c>
      <c r="AD5">
        <v>0</v>
      </c>
      <c r="AE5">
        <v>0</v>
      </c>
    </row>
    <row r="6" spans="2:31" x14ac:dyDescent="0.15">
      <c r="B6">
        <f ca="1">RAND()</f>
        <v>0.82750573790669946</v>
      </c>
      <c r="C6" s="1">
        <f>RandExpDist(0.1)</f>
        <v>11.692022171541023</v>
      </c>
      <c r="F6">
        <v>-4.5</v>
      </c>
      <c r="G6">
        <f>_xlfn.NORM.DIST(F6,0,1,FALSE)</f>
        <v>1.5983741106905475E-5</v>
      </c>
      <c r="H6">
        <f t="shared" ref="H6:K25" si="3">_xlfn.T.DIST($F6,H$4,FALSE)</f>
        <v>8.8324462669310902E-4</v>
      </c>
      <c r="I6">
        <f t="shared" si="1"/>
        <v>1.3337119368780277E-4</v>
      </c>
      <c r="J6">
        <f t="shared" si="1"/>
        <v>6.8075755523533101E-5</v>
      </c>
      <c r="K6">
        <f t="shared" si="1"/>
        <v>3.5935819475144766E-5</v>
      </c>
      <c r="V6">
        <f t="shared" si="2"/>
        <v>0.61500863324243782</v>
      </c>
      <c r="W6">
        <f t="shared" si="2"/>
        <v>0.52476859852212543</v>
      </c>
      <c r="X6">
        <f t="shared" si="2"/>
        <v>0.47313603108346602</v>
      </c>
      <c r="Y6">
        <f t="shared" si="2"/>
        <v>0.50335017234530166</v>
      </c>
      <c r="AA6">
        <v>0.42</v>
      </c>
      <c r="AB6">
        <v>0</v>
      </c>
      <c r="AC6">
        <v>0</v>
      </c>
      <c r="AD6">
        <v>0</v>
      </c>
      <c r="AE6">
        <v>0</v>
      </c>
    </row>
    <row r="7" spans="2:31" x14ac:dyDescent="0.15">
      <c r="F7">
        <v>-4</v>
      </c>
      <c r="G7">
        <f>_xlfn.NORM.DIST(F7,0,1,FALSE)</f>
        <v>1.3383022576488537E-4</v>
      </c>
      <c r="H7">
        <f t="shared" si="3"/>
        <v>2.0310339110412167E-3</v>
      </c>
      <c r="I7">
        <f t="shared" si="1"/>
        <v>5.2471644019740798E-4</v>
      </c>
      <c r="J7">
        <f t="shared" si="1"/>
        <v>3.3427468818049395E-4</v>
      </c>
      <c r="K7">
        <f t="shared" si="1"/>
        <v>2.2115455654062892E-4</v>
      </c>
      <c r="V7">
        <f t="shared" si="2"/>
        <v>0.773404604498652</v>
      </c>
      <c r="W7">
        <f t="shared" si="2"/>
        <v>0.50712103729183045</v>
      </c>
      <c r="X7">
        <f t="shared" si="2"/>
        <v>0.48343277980367677</v>
      </c>
      <c r="Y7">
        <f t="shared" si="2"/>
        <v>0.51525659355483666</v>
      </c>
      <c r="AA7">
        <v>0.43</v>
      </c>
      <c r="AB7">
        <v>0</v>
      </c>
      <c r="AC7">
        <v>0</v>
      </c>
      <c r="AD7">
        <v>0</v>
      </c>
      <c r="AE7">
        <v>0</v>
      </c>
    </row>
    <row r="8" spans="2:31" x14ac:dyDescent="0.15">
      <c r="F8">
        <v>-3.5</v>
      </c>
      <c r="G8">
        <f>_xlfn.NORM.DIST(F8,0,1,FALSE)</f>
        <v>8.7268269504576015E-4</v>
      </c>
      <c r="H8">
        <f t="shared" si="3"/>
        <v>4.7836071267013227E-3</v>
      </c>
      <c r="I8">
        <f t="shared" si="1"/>
        <v>1.9604555808020938E-3</v>
      </c>
      <c r="J8">
        <f t="shared" si="1"/>
        <v>1.4856628942363083E-3</v>
      </c>
      <c r="K8">
        <f t="shared" si="1"/>
        <v>1.1625554838789979E-3</v>
      </c>
      <c r="V8">
        <f t="shared" si="2"/>
        <v>0.54886964383030601</v>
      </c>
      <c r="W8">
        <f t="shared" si="2"/>
        <v>0.47366873721738728</v>
      </c>
      <c r="X8">
        <f t="shared" si="2"/>
        <v>0.51383813222884156</v>
      </c>
      <c r="Y8">
        <f t="shared" si="2"/>
        <v>0.50460297469280335</v>
      </c>
      <c r="AA8">
        <v>0.44</v>
      </c>
      <c r="AB8">
        <v>1</v>
      </c>
      <c r="AC8">
        <v>1</v>
      </c>
      <c r="AD8">
        <v>0</v>
      </c>
      <c r="AE8">
        <v>0</v>
      </c>
    </row>
    <row r="9" spans="2:31" x14ac:dyDescent="0.15">
      <c r="F9">
        <v>-3</v>
      </c>
      <c r="G9">
        <f>_xlfn.NORM.DIST(F9,0,1,FALSE)</f>
        <v>4.4318484119380075E-3</v>
      </c>
      <c r="H9">
        <f t="shared" si="3"/>
        <v>1.1400549464542524E-2</v>
      </c>
      <c r="I9">
        <f t="shared" si="1"/>
        <v>6.7790627460931003E-3</v>
      </c>
      <c r="J9">
        <f t="shared" si="1"/>
        <v>5.8310605583565224E-3</v>
      </c>
      <c r="K9">
        <f t="shared" si="1"/>
        <v>5.1260897023202509E-3</v>
      </c>
      <c r="V9">
        <f t="shared" si="2"/>
        <v>1.1837367014265134</v>
      </c>
      <c r="W9">
        <f t="shared" si="2"/>
        <v>0.49950652848010224</v>
      </c>
      <c r="X9">
        <f t="shared" si="2"/>
        <v>0.5059038968680023</v>
      </c>
      <c r="Y9">
        <f t="shared" si="2"/>
        <v>0.49742800416575994</v>
      </c>
      <c r="AA9">
        <v>0.45</v>
      </c>
      <c r="AB9">
        <v>0</v>
      </c>
      <c r="AC9">
        <v>1</v>
      </c>
      <c r="AD9">
        <v>0</v>
      </c>
      <c r="AE9">
        <v>0</v>
      </c>
    </row>
    <row r="10" spans="2:31" x14ac:dyDescent="0.15">
      <c r="F10">
        <v>-2.5</v>
      </c>
      <c r="G10">
        <f>_xlfn.NORM.DIST(F10,0,1,FALSE)</f>
        <v>1.752830049356854E-2</v>
      </c>
      <c r="H10">
        <f t="shared" si="3"/>
        <v>2.6938727628244463E-2</v>
      </c>
      <c r="I10">
        <f t="shared" si="1"/>
        <v>2.1057019220621639E-2</v>
      </c>
      <c r="J10">
        <f t="shared" si="1"/>
        <v>1.9694702081706587E-2</v>
      </c>
      <c r="K10">
        <f t="shared" si="1"/>
        <v>1.8630003746412823E-2</v>
      </c>
      <c r="V10">
        <f t="shared" si="2"/>
        <v>0.81312284728785844</v>
      </c>
      <c r="W10">
        <f t="shared" si="2"/>
        <v>0.45035807051479204</v>
      </c>
      <c r="X10">
        <f t="shared" si="2"/>
        <v>0.50148405119817296</v>
      </c>
      <c r="Y10">
        <f t="shared" si="2"/>
        <v>0.4970443553920566</v>
      </c>
      <c r="AA10">
        <v>0.46</v>
      </c>
      <c r="AB10">
        <v>0</v>
      </c>
      <c r="AC10">
        <v>3</v>
      </c>
      <c r="AD10">
        <v>0</v>
      </c>
      <c r="AE10">
        <v>0</v>
      </c>
    </row>
    <row r="11" spans="2:31" x14ac:dyDescent="0.15">
      <c r="F11">
        <v>-2</v>
      </c>
      <c r="G11">
        <f>_xlfn.NORM.DIST(F11,0,1,FALSE)</f>
        <v>5.3990966513188063E-2</v>
      </c>
      <c r="H11">
        <f t="shared" si="3"/>
        <v>6.1145766321218181E-2</v>
      </c>
      <c r="I11">
        <f t="shared" si="1"/>
        <v>5.6852275047197962E-2</v>
      </c>
      <c r="J11">
        <f t="shared" si="1"/>
        <v>5.5774151649800992E-2</v>
      </c>
      <c r="K11">
        <f t="shared" si="1"/>
        <v>5.490864329540969E-2</v>
      </c>
      <c r="V11">
        <f t="shared" si="2"/>
        <v>0.40625623802593874</v>
      </c>
      <c r="W11">
        <f t="shared" si="2"/>
        <v>0.45912906108580614</v>
      </c>
      <c r="X11">
        <f t="shared" si="2"/>
        <v>0.47798237735847543</v>
      </c>
      <c r="Y11">
        <f t="shared" si="2"/>
        <v>0.49712604567155766</v>
      </c>
      <c r="AA11">
        <v>0.47</v>
      </c>
      <c r="AB11">
        <v>1</v>
      </c>
      <c r="AC11">
        <v>1</v>
      </c>
      <c r="AD11">
        <v>0</v>
      </c>
      <c r="AE11">
        <v>0</v>
      </c>
    </row>
    <row r="12" spans="2:31" x14ac:dyDescent="0.15">
      <c r="F12">
        <v>-1.5</v>
      </c>
      <c r="G12">
        <f>_xlfn.NORM.DIST(F12,0,1,FALSE)</f>
        <v>0.12951759566589174</v>
      </c>
      <c r="H12">
        <f t="shared" si="3"/>
        <v>0.12744479428709171</v>
      </c>
      <c r="I12">
        <f t="shared" si="1"/>
        <v>0.12896160173967178</v>
      </c>
      <c r="J12">
        <f t="shared" si="1"/>
        <v>0.12920321834422047</v>
      </c>
      <c r="K12">
        <f t="shared" si="1"/>
        <v>0.12936799740683039</v>
      </c>
      <c r="V12">
        <f t="shared" si="2"/>
        <v>0.46295113591920323</v>
      </c>
      <c r="W12">
        <f t="shared" si="2"/>
        <v>0.53123486396831654</v>
      </c>
      <c r="X12">
        <f t="shared" si="2"/>
        <v>0.49734655960817964</v>
      </c>
      <c r="Y12">
        <f t="shared" si="2"/>
        <v>0.49782324773106729</v>
      </c>
      <c r="AA12">
        <v>0.48</v>
      </c>
      <c r="AB12">
        <v>1</v>
      </c>
      <c r="AC12">
        <v>1</v>
      </c>
      <c r="AD12">
        <v>3</v>
      </c>
      <c r="AE12">
        <v>0</v>
      </c>
    </row>
    <row r="13" spans="2:31" x14ac:dyDescent="0.15">
      <c r="F13">
        <v>-1</v>
      </c>
      <c r="G13">
        <f>_xlfn.NORM.DIST(F13,0,1,FALSE)</f>
        <v>0.24197072451914337</v>
      </c>
      <c r="H13">
        <f t="shared" si="3"/>
        <v>0.23036198922913867</v>
      </c>
      <c r="I13">
        <f t="shared" si="1"/>
        <v>0.23799334232287983</v>
      </c>
      <c r="J13">
        <f t="shared" si="1"/>
        <v>0.2395710620586905</v>
      </c>
      <c r="K13">
        <f t="shared" si="1"/>
        <v>0.240765896928546</v>
      </c>
      <c r="V13">
        <f t="shared" si="2"/>
        <v>0.43480409099978951</v>
      </c>
      <c r="W13">
        <f t="shared" si="2"/>
        <v>0.5540214878470161</v>
      </c>
      <c r="X13">
        <f t="shared" si="2"/>
        <v>0.47603179625288095</v>
      </c>
      <c r="Y13">
        <f t="shared" si="2"/>
        <v>0.49681548609254417</v>
      </c>
      <c r="AA13">
        <v>0.49</v>
      </c>
      <c r="AB13">
        <v>1</v>
      </c>
      <c r="AC13">
        <v>0</v>
      </c>
      <c r="AD13">
        <v>2</v>
      </c>
      <c r="AE13">
        <v>1</v>
      </c>
    </row>
    <row r="14" spans="2:31" x14ac:dyDescent="0.15">
      <c r="F14">
        <v>-0.5</v>
      </c>
      <c r="G14">
        <f>_xlfn.NORM.DIST(F14,0,1,FALSE)</f>
        <v>0.35206532676429952</v>
      </c>
      <c r="H14">
        <f t="shared" si="3"/>
        <v>0.33969513635207788</v>
      </c>
      <c r="I14">
        <f t="shared" si="1"/>
        <v>0.34787857969720454</v>
      </c>
      <c r="J14">
        <f t="shared" si="1"/>
        <v>0.34954586046517899</v>
      </c>
      <c r="K14">
        <f t="shared" si="1"/>
        <v>0.35080283339233032</v>
      </c>
      <c r="V14">
        <f t="shared" si="2"/>
        <v>0.32752631204473159</v>
      </c>
      <c r="W14">
        <f t="shared" si="2"/>
        <v>0.53863022034803387</v>
      </c>
      <c r="X14">
        <f t="shared" si="2"/>
        <v>0.5179848415068744</v>
      </c>
      <c r="Y14">
        <f t="shared" si="2"/>
        <v>0.49718280836015727</v>
      </c>
      <c r="AA14">
        <v>0.5</v>
      </c>
      <c r="AB14">
        <v>0</v>
      </c>
      <c r="AC14">
        <v>1</v>
      </c>
      <c r="AD14">
        <v>8</v>
      </c>
      <c r="AE14">
        <v>10</v>
      </c>
    </row>
    <row r="15" spans="2:31" x14ac:dyDescent="0.15">
      <c r="F15">
        <v>0</v>
      </c>
      <c r="G15">
        <f>_xlfn.NORM.DIST(F15,0,1,FALSE)</f>
        <v>0.3989422804014327</v>
      </c>
      <c r="H15">
        <f t="shared" si="3"/>
        <v>0.38910838396603115</v>
      </c>
      <c r="I15">
        <f t="shared" si="1"/>
        <v>0.39563218489409779</v>
      </c>
      <c r="J15">
        <f t="shared" si="1"/>
        <v>0.3969526797311142</v>
      </c>
      <c r="K15">
        <f t="shared" si="1"/>
        <v>0.39794618693589384</v>
      </c>
      <c r="V15">
        <f t="shared" si="2"/>
        <v>0.26126691849227673</v>
      </c>
      <c r="W15">
        <f t="shared" si="2"/>
        <v>0.43733313543637631</v>
      </c>
      <c r="X15">
        <f t="shared" si="2"/>
        <v>0.49555943381003648</v>
      </c>
      <c r="Y15">
        <f t="shared" si="2"/>
        <v>0.50319688249571559</v>
      </c>
      <c r="AA15">
        <v>0.50999999999999901</v>
      </c>
      <c r="AB15">
        <v>0</v>
      </c>
      <c r="AC15">
        <v>1</v>
      </c>
      <c r="AD15">
        <v>3</v>
      </c>
      <c r="AE15">
        <v>9</v>
      </c>
    </row>
    <row r="16" spans="2:31" x14ac:dyDescent="0.15">
      <c r="F16">
        <v>0.5</v>
      </c>
      <c r="G16">
        <f>_xlfn.NORM.DIST(F16,0,1,FALSE)</f>
        <v>0.35206532676429952</v>
      </c>
      <c r="H16">
        <f t="shared" si="3"/>
        <v>0.33969513635207788</v>
      </c>
      <c r="I16">
        <f t="shared" si="1"/>
        <v>0.34787857969720454</v>
      </c>
      <c r="J16">
        <f t="shared" si="1"/>
        <v>0.34954586046517899</v>
      </c>
      <c r="K16">
        <f t="shared" si="1"/>
        <v>0.35080283339233032</v>
      </c>
      <c r="V16">
        <f t="shared" si="2"/>
        <v>0.3369000209184646</v>
      </c>
      <c r="W16">
        <f t="shared" si="2"/>
        <v>0.45867329330857715</v>
      </c>
      <c r="X16">
        <f t="shared" si="2"/>
        <v>0.51668180428473609</v>
      </c>
      <c r="Y16">
        <f t="shared" si="2"/>
        <v>0.50921026491711485</v>
      </c>
      <c r="AA16">
        <v>0.51999999999999902</v>
      </c>
      <c r="AB16">
        <v>0</v>
      </c>
      <c r="AC16">
        <v>2</v>
      </c>
      <c r="AD16">
        <v>3</v>
      </c>
      <c r="AE16">
        <v>1</v>
      </c>
    </row>
    <row r="17" spans="6:31" x14ac:dyDescent="0.15">
      <c r="F17">
        <v>1</v>
      </c>
      <c r="G17">
        <f>_xlfn.NORM.DIST(F17,0,1,FALSE)</f>
        <v>0.24197072451914337</v>
      </c>
      <c r="H17">
        <f t="shared" si="3"/>
        <v>0.23036198922913867</v>
      </c>
      <c r="I17">
        <f t="shared" si="1"/>
        <v>0.23799334232287983</v>
      </c>
      <c r="J17">
        <f t="shared" si="1"/>
        <v>0.2395710620586905</v>
      </c>
      <c r="K17">
        <f t="shared" si="1"/>
        <v>0.240765896928546</v>
      </c>
      <c r="V17">
        <f t="shared" si="2"/>
        <v>0.23070033057085779</v>
      </c>
      <c r="W17">
        <f t="shared" si="2"/>
        <v>0.517695714535364</v>
      </c>
      <c r="X17">
        <f t="shared" si="2"/>
        <v>0.49851247901640416</v>
      </c>
      <c r="Y17">
        <f t="shared" si="2"/>
        <v>0.50044770244334758</v>
      </c>
      <c r="AA17">
        <v>0.52999999999999903</v>
      </c>
      <c r="AB17">
        <v>0</v>
      </c>
      <c r="AC17">
        <v>1</v>
      </c>
      <c r="AD17">
        <v>1</v>
      </c>
      <c r="AE17">
        <v>0</v>
      </c>
    </row>
    <row r="18" spans="6:31" x14ac:dyDescent="0.15">
      <c r="F18">
        <v>1.5</v>
      </c>
      <c r="G18">
        <f>_xlfn.NORM.DIST(F18,0,1,FALSE)</f>
        <v>0.12951759566589174</v>
      </c>
      <c r="H18">
        <f t="shared" si="3"/>
        <v>0.12744479428709171</v>
      </c>
      <c r="I18">
        <f t="shared" si="1"/>
        <v>0.12896160173967178</v>
      </c>
      <c r="J18">
        <f t="shared" si="1"/>
        <v>0.12920321834422047</v>
      </c>
      <c r="K18">
        <f t="shared" si="1"/>
        <v>0.12936799740683039</v>
      </c>
      <c r="V18">
        <f t="shared" si="2"/>
        <v>0.70517025680674528</v>
      </c>
      <c r="W18">
        <f t="shared" si="2"/>
        <v>0.51769069857474126</v>
      </c>
      <c r="X18">
        <f t="shared" si="2"/>
        <v>0.49687188602116883</v>
      </c>
      <c r="Y18">
        <f t="shared" si="2"/>
        <v>0.48772312622219305</v>
      </c>
      <c r="AA18">
        <v>0.53999999999999904</v>
      </c>
      <c r="AB18">
        <v>0</v>
      </c>
      <c r="AC18">
        <v>3</v>
      </c>
      <c r="AD18">
        <v>1</v>
      </c>
      <c r="AE18">
        <v>0</v>
      </c>
    </row>
    <row r="19" spans="6:31" x14ac:dyDescent="0.15">
      <c r="F19">
        <v>2</v>
      </c>
      <c r="G19">
        <f>_xlfn.NORM.DIST(F19,0,1,FALSE)</f>
        <v>5.3990966513188063E-2</v>
      </c>
      <c r="H19">
        <f t="shared" si="3"/>
        <v>6.1145766321218181E-2</v>
      </c>
      <c r="I19">
        <f t="shared" si="1"/>
        <v>5.6852275047197962E-2</v>
      </c>
      <c r="J19">
        <f t="shared" si="1"/>
        <v>5.5774151649800992E-2</v>
      </c>
      <c r="K19">
        <f t="shared" si="1"/>
        <v>5.490864329540969E-2</v>
      </c>
      <c r="V19">
        <f t="shared" si="2"/>
        <v>0.48097199109809913</v>
      </c>
      <c r="W19">
        <f t="shared" si="2"/>
        <v>0.64137842618039387</v>
      </c>
      <c r="X19">
        <f t="shared" si="2"/>
        <v>0.49059966341264377</v>
      </c>
      <c r="Y19">
        <f t="shared" si="2"/>
        <v>0.49236943980315745</v>
      </c>
      <c r="AA19">
        <v>0.54999999999999905</v>
      </c>
      <c r="AB19">
        <v>1</v>
      </c>
      <c r="AC19">
        <v>2</v>
      </c>
      <c r="AD19">
        <v>0</v>
      </c>
      <c r="AE19">
        <v>0</v>
      </c>
    </row>
    <row r="20" spans="6:31" x14ac:dyDescent="0.15">
      <c r="F20">
        <v>2.5</v>
      </c>
      <c r="G20">
        <f>_xlfn.NORM.DIST(F20,0,1,FALSE)</f>
        <v>1.752830049356854E-2</v>
      </c>
      <c r="H20">
        <f t="shared" si="3"/>
        <v>2.6938727628244463E-2</v>
      </c>
      <c r="I20">
        <f t="shared" si="1"/>
        <v>2.1057019220621639E-2</v>
      </c>
      <c r="J20">
        <f t="shared" si="1"/>
        <v>1.9694702081706587E-2</v>
      </c>
      <c r="K20">
        <f t="shared" si="1"/>
        <v>1.8630003746412823E-2</v>
      </c>
      <c r="V20">
        <f t="shared" si="2"/>
        <v>0.37339228974686195</v>
      </c>
      <c r="W20">
        <f t="shared" si="2"/>
        <v>0.44573126443587108</v>
      </c>
      <c r="X20">
        <f t="shared" si="2"/>
        <v>0.49637589957864481</v>
      </c>
      <c r="Y20">
        <f t="shared" si="2"/>
        <v>0.50370383756877568</v>
      </c>
      <c r="AA20">
        <v>0.55999999999999905</v>
      </c>
      <c r="AB20">
        <v>0</v>
      </c>
      <c r="AC20">
        <v>2</v>
      </c>
      <c r="AD20">
        <v>0</v>
      </c>
      <c r="AE20">
        <v>0</v>
      </c>
    </row>
    <row r="21" spans="6:31" x14ac:dyDescent="0.15">
      <c r="F21">
        <v>3</v>
      </c>
      <c r="G21">
        <f>_xlfn.NORM.DIST(F21,0,1,FALSE)</f>
        <v>4.4318484119380075E-3</v>
      </c>
      <c r="H21">
        <f t="shared" si="3"/>
        <v>1.1400549464542524E-2</v>
      </c>
      <c r="I21">
        <f t="shared" si="1"/>
        <v>6.7790627460931003E-3</v>
      </c>
      <c r="J21">
        <f t="shared" si="1"/>
        <v>5.8310605583565224E-3</v>
      </c>
      <c r="K21">
        <f t="shared" si="1"/>
        <v>5.1260897023202509E-3</v>
      </c>
      <c r="V21">
        <f t="shared" si="2"/>
        <v>0.29262108335737719</v>
      </c>
      <c r="W21">
        <f t="shared" si="2"/>
        <v>0.53296713953718033</v>
      </c>
      <c r="X21">
        <f t="shared" si="2"/>
        <v>0.48675046380680431</v>
      </c>
      <c r="Y21">
        <f t="shared" si="2"/>
        <v>0.50535349685835584</v>
      </c>
      <c r="AA21">
        <v>0.56999999999999895</v>
      </c>
      <c r="AB21">
        <v>0</v>
      </c>
      <c r="AC21">
        <v>0</v>
      </c>
      <c r="AD21">
        <v>0</v>
      </c>
      <c r="AE21">
        <v>0</v>
      </c>
    </row>
    <row r="22" spans="6:31" x14ac:dyDescent="0.15">
      <c r="F22">
        <v>3.5</v>
      </c>
      <c r="G22">
        <f>_xlfn.NORM.DIST(F22,0,1,FALSE)</f>
        <v>8.7268269504576015E-4</v>
      </c>
      <c r="H22">
        <f t="shared" si="3"/>
        <v>4.7836071267013227E-3</v>
      </c>
      <c r="I22">
        <f t="shared" si="1"/>
        <v>1.9604555808020938E-3</v>
      </c>
      <c r="J22">
        <f t="shared" si="1"/>
        <v>1.4856628942363083E-3</v>
      </c>
      <c r="K22">
        <f t="shared" si="1"/>
        <v>1.1625554838789979E-3</v>
      </c>
      <c r="V22">
        <f t="shared" si="2"/>
        <v>0.60290974263430797</v>
      </c>
      <c r="W22">
        <f t="shared" si="2"/>
        <v>0.46985779746961504</v>
      </c>
      <c r="X22">
        <f t="shared" si="2"/>
        <v>0.49937062013549266</v>
      </c>
      <c r="Y22">
        <f t="shared" si="2"/>
        <v>0.49275606641769693</v>
      </c>
      <c r="AA22">
        <v>0.57999999999999896</v>
      </c>
      <c r="AB22">
        <v>1</v>
      </c>
      <c r="AC22">
        <v>1</v>
      </c>
      <c r="AD22">
        <v>0</v>
      </c>
      <c r="AE22">
        <v>0</v>
      </c>
    </row>
    <row r="23" spans="6:31" x14ac:dyDescent="0.15">
      <c r="F23">
        <v>4</v>
      </c>
      <c r="G23">
        <f>_xlfn.NORM.DIST(F23,0,1,FALSE)</f>
        <v>1.3383022576488537E-4</v>
      </c>
      <c r="H23">
        <f t="shared" si="3"/>
        <v>2.0310339110412167E-3</v>
      </c>
      <c r="I23">
        <f t="shared" si="1"/>
        <v>5.2471644019740798E-4</v>
      </c>
      <c r="J23">
        <f t="shared" si="1"/>
        <v>3.3427468818049395E-4</v>
      </c>
      <c r="K23">
        <f t="shared" si="1"/>
        <v>2.2115455654062892E-4</v>
      </c>
      <c r="V23">
        <f t="shared" si="2"/>
        <v>0.4737404622078058</v>
      </c>
      <c r="W23">
        <f t="shared" si="2"/>
        <v>0.55765142172861804</v>
      </c>
      <c r="X23">
        <f t="shared" si="2"/>
        <v>0.53810314901480105</v>
      </c>
      <c r="Y23">
        <f t="shared" si="2"/>
        <v>0.5034557455508526</v>
      </c>
      <c r="AA23">
        <v>0.58999999999999897</v>
      </c>
      <c r="AB23">
        <v>0</v>
      </c>
      <c r="AC23">
        <v>0</v>
      </c>
      <c r="AD23">
        <v>0</v>
      </c>
      <c r="AE23">
        <v>0</v>
      </c>
    </row>
    <row r="24" spans="6:31" x14ac:dyDescent="0.15">
      <c r="F24">
        <v>4.5</v>
      </c>
      <c r="G24">
        <f>_xlfn.NORM.DIST(F24,0,1,FALSE)</f>
        <v>1.5983741106905475E-5</v>
      </c>
      <c r="H24">
        <f t="shared" si="3"/>
        <v>8.8324462669310902E-4</v>
      </c>
      <c r="I24">
        <f t="shared" si="1"/>
        <v>1.3337119368780277E-4</v>
      </c>
      <c r="J24">
        <f t="shared" si="1"/>
        <v>6.8075755523533101E-5</v>
      </c>
      <c r="K24">
        <f t="shared" si="1"/>
        <v>3.5935819475144766E-5</v>
      </c>
      <c r="V24">
        <f t="shared" si="2"/>
        <v>0.62156368506940007</v>
      </c>
      <c r="W24">
        <f t="shared" si="2"/>
        <v>0.54739114051938065</v>
      </c>
      <c r="X24">
        <f t="shared" si="2"/>
        <v>0.50233943665172653</v>
      </c>
      <c r="Y24">
        <f t="shared" si="2"/>
        <v>0.5049876279251323</v>
      </c>
      <c r="AA24">
        <v>0.59999999999999898</v>
      </c>
      <c r="AB24">
        <v>0</v>
      </c>
      <c r="AC24">
        <v>0</v>
      </c>
      <c r="AD24">
        <v>0</v>
      </c>
      <c r="AE24">
        <v>0</v>
      </c>
    </row>
    <row r="25" spans="6:31" x14ac:dyDescent="0.15">
      <c r="F25">
        <v>5</v>
      </c>
      <c r="G25">
        <f>_xlfn.NORM.DIST(F25,0,1,FALSE)</f>
        <v>1.4867195147342977E-6</v>
      </c>
      <c r="H25">
        <f t="shared" si="3"/>
        <v>3.960010564637988E-4</v>
      </c>
      <c r="I25">
        <f t="shared" si="1"/>
        <v>3.2888902052922403E-5</v>
      </c>
      <c r="J25">
        <f t="shared" si="1"/>
        <v>1.2835465750193539E-5</v>
      </c>
      <c r="K25">
        <f t="shared" si="1"/>
        <v>5.0800582347272843E-6</v>
      </c>
      <c r="AA25">
        <v>0.60999999999999899</v>
      </c>
      <c r="AB25">
        <v>7</v>
      </c>
      <c r="AC25">
        <v>1</v>
      </c>
      <c r="AD25">
        <v>0</v>
      </c>
      <c r="AE25">
        <v>0</v>
      </c>
    </row>
    <row r="27" spans="6:31" x14ac:dyDescent="0.15">
      <c r="AB27">
        <v>10</v>
      </c>
      <c r="AC27">
        <v>100</v>
      </c>
      <c r="AD27">
        <v>1000</v>
      </c>
      <c r="AE27">
        <v>5000</v>
      </c>
    </row>
    <row r="28" spans="6:31" x14ac:dyDescent="0.15">
      <c r="V28">
        <v>10</v>
      </c>
      <c r="W28">
        <v>100</v>
      </c>
      <c r="X28">
        <v>1000</v>
      </c>
      <c r="Y28">
        <v>2000</v>
      </c>
      <c r="AA28">
        <v>0.5</v>
      </c>
      <c r="AB28">
        <f t="array" ref="AB28:AB49">FREQUENCY(V28:V49,$AA$28:$AA$48)</f>
        <v>0</v>
      </c>
      <c r="AC28">
        <f t="array" ref="AC28:AC49">FREQUENCY(W28:W49,$AA$28:$AA$48)</f>
        <v>0</v>
      </c>
      <c r="AD28">
        <f t="array" ref="AD28:AD49">FREQUENCY(X28:X49,$AA$28:$AA$48)</f>
        <v>0</v>
      </c>
      <c r="AE28">
        <f t="array" ref="AE28:AE49">FREQUENCY(Y28:Y49,$AA$28:$AA$48)</f>
        <v>0</v>
      </c>
    </row>
    <row r="29" spans="6:31" x14ac:dyDescent="0.15">
      <c r="V29">
        <f>MeanOfLogNormal(V$3,0,1)</f>
        <v>1.382595224006578</v>
      </c>
      <c r="W29">
        <f t="shared" ref="W29:Y49" si="4">MeanOfLogNormal(W$3,0,1)</f>
        <v>1.36499497919645</v>
      </c>
      <c r="X29">
        <f t="shared" si="4"/>
        <v>1.7811546122793602</v>
      </c>
      <c r="Y29">
        <f t="shared" si="4"/>
        <v>1.6055928797272319</v>
      </c>
      <c r="AA29">
        <v>0.6</v>
      </c>
      <c r="AB29">
        <v>0</v>
      </c>
      <c r="AC29">
        <v>0</v>
      </c>
      <c r="AD29">
        <v>0</v>
      </c>
      <c r="AE29">
        <v>0</v>
      </c>
    </row>
    <row r="30" spans="6:31" x14ac:dyDescent="0.15">
      <c r="V30">
        <f t="shared" ref="V30:Y49" si="5">MeanOfLogNormal(V$3,0,1)</f>
        <v>1.7306561658554709</v>
      </c>
      <c r="W30">
        <f t="shared" si="4"/>
        <v>1.7127381075776926</v>
      </c>
      <c r="X30">
        <f t="shared" si="4"/>
        <v>1.5899379267055389</v>
      </c>
      <c r="Y30">
        <f t="shared" si="4"/>
        <v>1.73405395186948</v>
      </c>
      <c r="AA30">
        <v>0.7</v>
      </c>
      <c r="AB30">
        <v>0</v>
      </c>
      <c r="AC30">
        <v>0</v>
      </c>
      <c r="AD30">
        <v>0</v>
      </c>
      <c r="AE30">
        <v>0</v>
      </c>
    </row>
    <row r="31" spans="6:31" x14ac:dyDescent="0.15">
      <c r="V31">
        <f t="shared" si="5"/>
        <v>1.0894019337714176</v>
      </c>
      <c r="W31">
        <f t="shared" si="4"/>
        <v>2.0144696784522327</v>
      </c>
      <c r="X31">
        <f t="shared" si="4"/>
        <v>1.7693846124930594</v>
      </c>
      <c r="Y31">
        <f t="shared" si="4"/>
        <v>1.6682287206409161</v>
      </c>
      <c r="AA31">
        <v>0.8</v>
      </c>
      <c r="AB31">
        <v>1</v>
      </c>
      <c r="AC31">
        <v>0</v>
      </c>
      <c r="AD31">
        <v>0</v>
      </c>
      <c r="AE31">
        <v>0</v>
      </c>
    </row>
    <row r="32" spans="6:31" x14ac:dyDescent="0.15">
      <c r="V32">
        <f t="shared" si="5"/>
        <v>2.1408025044184926</v>
      </c>
      <c r="W32">
        <f t="shared" si="4"/>
        <v>1.8331302411930059</v>
      </c>
      <c r="X32">
        <f t="shared" si="4"/>
        <v>1.7718151790100203</v>
      </c>
      <c r="Y32">
        <f t="shared" si="4"/>
        <v>1.6207993272400347</v>
      </c>
      <c r="AA32">
        <v>0.9</v>
      </c>
      <c r="AB32">
        <v>1</v>
      </c>
      <c r="AC32">
        <v>0</v>
      </c>
      <c r="AD32">
        <v>0</v>
      </c>
      <c r="AE32">
        <v>0</v>
      </c>
    </row>
    <row r="33" spans="22:31" x14ac:dyDescent="0.15">
      <c r="V33">
        <f t="shared" si="5"/>
        <v>1.6249204390479668</v>
      </c>
      <c r="W33">
        <f t="shared" si="4"/>
        <v>1.5783978233117792</v>
      </c>
      <c r="X33">
        <f t="shared" si="4"/>
        <v>1.6651014927781969</v>
      </c>
      <c r="Y33">
        <f t="shared" si="4"/>
        <v>1.6427619096607589</v>
      </c>
      <c r="AA33">
        <v>1</v>
      </c>
      <c r="AB33">
        <v>0</v>
      </c>
      <c r="AC33">
        <v>0</v>
      </c>
      <c r="AD33">
        <v>0</v>
      </c>
      <c r="AE33">
        <v>0</v>
      </c>
    </row>
    <row r="34" spans="22:31" x14ac:dyDescent="0.15">
      <c r="V34">
        <f t="shared" si="5"/>
        <v>0.79836885350605014</v>
      </c>
      <c r="W34">
        <f t="shared" si="4"/>
        <v>1.962489312327572</v>
      </c>
      <c r="X34">
        <f t="shared" si="4"/>
        <v>1.5329655229283194</v>
      </c>
      <c r="Y34">
        <f t="shared" si="4"/>
        <v>1.6884785531042485</v>
      </c>
      <c r="AA34">
        <v>1.1000000000000001</v>
      </c>
      <c r="AB34">
        <v>3</v>
      </c>
      <c r="AC34">
        <v>0</v>
      </c>
      <c r="AD34">
        <v>0</v>
      </c>
      <c r="AE34">
        <v>0</v>
      </c>
    </row>
    <row r="35" spans="22:31" x14ac:dyDescent="0.15">
      <c r="V35">
        <f t="shared" si="5"/>
        <v>1.4214795011976493</v>
      </c>
      <c r="W35">
        <f t="shared" si="4"/>
        <v>2.0083054730357457</v>
      </c>
      <c r="X35">
        <f t="shared" si="4"/>
        <v>1.5599148945844536</v>
      </c>
      <c r="Y35">
        <f t="shared" si="4"/>
        <v>1.6298089854232531</v>
      </c>
      <c r="AA35">
        <v>1.2</v>
      </c>
      <c r="AB35">
        <v>0</v>
      </c>
      <c r="AC35">
        <v>0</v>
      </c>
      <c r="AD35">
        <v>0</v>
      </c>
      <c r="AE35">
        <v>0</v>
      </c>
    </row>
    <row r="36" spans="22:31" x14ac:dyDescent="0.15">
      <c r="V36">
        <f t="shared" si="5"/>
        <v>1.0256777554467029</v>
      </c>
      <c r="W36">
        <f t="shared" si="4"/>
        <v>1.6450188488455781</v>
      </c>
      <c r="X36">
        <f t="shared" si="4"/>
        <v>1.743487687395201</v>
      </c>
      <c r="Y36">
        <f t="shared" si="4"/>
        <v>1.6065300189795459</v>
      </c>
      <c r="AA36">
        <v>1.3</v>
      </c>
      <c r="AB36">
        <v>1</v>
      </c>
      <c r="AC36">
        <v>0</v>
      </c>
      <c r="AD36">
        <v>0</v>
      </c>
      <c r="AE36">
        <v>0</v>
      </c>
    </row>
    <row r="37" spans="22:31" x14ac:dyDescent="0.15">
      <c r="V37">
        <f t="shared" si="5"/>
        <v>1.8324449632389375</v>
      </c>
      <c r="W37">
        <f t="shared" si="4"/>
        <v>1.7622218095184499</v>
      </c>
      <c r="X37">
        <f t="shared" si="4"/>
        <v>1.5612535201468707</v>
      </c>
      <c r="Y37">
        <f t="shared" si="4"/>
        <v>1.6328150649674442</v>
      </c>
      <c r="AA37">
        <v>1.4</v>
      </c>
      <c r="AB37">
        <v>3</v>
      </c>
      <c r="AC37">
        <v>1</v>
      </c>
      <c r="AD37">
        <v>0</v>
      </c>
      <c r="AE37">
        <v>0</v>
      </c>
    </row>
    <row r="38" spans="22:31" x14ac:dyDescent="0.15">
      <c r="V38">
        <f t="shared" si="5"/>
        <v>2.0117203669567076</v>
      </c>
      <c r="W38">
        <f t="shared" si="4"/>
        <v>2.2485666630722192</v>
      </c>
      <c r="X38">
        <f t="shared" si="4"/>
        <v>1.6148188140694177</v>
      </c>
      <c r="Y38">
        <f t="shared" si="4"/>
        <v>1.6702245716906914</v>
      </c>
      <c r="AA38">
        <v>1.5</v>
      </c>
      <c r="AB38">
        <v>2</v>
      </c>
      <c r="AC38">
        <v>3</v>
      </c>
      <c r="AD38">
        <v>0</v>
      </c>
      <c r="AE38">
        <v>0</v>
      </c>
    </row>
    <row r="39" spans="22:31" x14ac:dyDescent="0.15">
      <c r="V39">
        <f t="shared" si="5"/>
        <v>1.9339322328762916</v>
      </c>
      <c r="W39">
        <f t="shared" si="4"/>
        <v>1.4918198710215504</v>
      </c>
      <c r="X39">
        <f t="shared" si="4"/>
        <v>1.5771639952096195</v>
      </c>
      <c r="Y39">
        <f t="shared" si="4"/>
        <v>1.711968460892227</v>
      </c>
      <c r="AA39">
        <v>1.6</v>
      </c>
      <c r="AB39">
        <v>1</v>
      </c>
      <c r="AC39">
        <v>4</v>
      </c>
      <c r="AD39">
        <v>9</v>
      </c>
      <c r="AE39">
        <v>1</v>
      </c>
    </row>
    <row r="40" spans="22:31" x14ac:dyDescent="0.15">
      <c r="V40">
        <f t="shared" si="5"/>
        <v>1.3252619731763471</v>
      </c>
      <c r="W40">
        <f t="shared" si="4"/>
        <v>2.0273405339777137</v>
      </c>
      <c r="X40">
        <f t="shared" si="4"/>
        <v>1.5236354957942375</v>
      </c>
      <c r="Y40">
        <f t="shared" si="4"/>
        <v>1.5944172117695723</v>
      </c>
      <c r="AA40">
        <v>1.7</v>
      </c>
      <c r="AB40">
        <v>1</v>
      </c>
      <c r="AC40">
        <v>2</v>
      </c>
      <c r="AD40">
        <v>4</v>
      </c>
      <c r="AE40">
        <v>15</v>
      </c>
    </row>
    <row r="41" spans="22:31" x14ac:dyDescent="0.15">
      <c r="V41">
        <f t="shared" si="5"/>
        <v>1.3296599382117686</v>
      </c>
      <c r="W41">
        <f t="shared" si="4"/>
        <v>1.4099670195106748</v>
      </c>
      <c r="X41">
        <f t="shared" si="4"/>
        <v>1.6448973438287642</v>
      </c>
      <c r="Y41">
        <f t="shared" si="4"/>
        <v>1.6464134116778917</v>
      </c>
      <c r="AA41">
        <v>1.8</v>
      </c>
      <c r="AB41">
        <v>1</v>
      </c>
      <c r="AC41">
        <v>3</v>
      </c>
      <c r="AD41">
        <v>6</v>
      </c>
      <c r="AE41">
        <v>5</v>
      </c>
    </row>
    <row r="42" spans="22:31" x14ac:dyDescent="0.15">
      <c r="V42">
        <f t="shared" si="5"/>
        <v>1.4421217116010403</v>
      </c>
      <c r="W42">
        <f t="shared" si="4"/>
        <v>1.8076560345315511</v>
      </c>
      <c r="X42">
        <f t="shared" si="4"/>
        <v>1.5776374669737103</v>
      </c>
      <c r="Y42">
        <f t="shared" si="4"/>
        <v>1.6178032781861467</v>
      </c>
      <c r="AA42">
        <v>1.9</v>
      </c>
      <c r="AB42">
        <v>1</v>
      </c>
      <c r="AC42">
        <v>2</v>
      </c>
      <c r="AD42">
        <v>2</v>
      </c>
      <c r="AE42">
        <v>0</v>
      </c>
    </row>
    <row r="43" spans="22:31" x14ac:dyDescent="0.15">
      <c r="V43">
        <f t="shared" si="5"/>
        <v>3.5290099543256028</v>
      </c>
      <c r="W43">
        <f t="shared" si="4"/>
        <v>1.4703564067298962</v>
      </c>
      <c r="X43">
        <f t="shared" si="4"/>
        <v>1.6654297356878192</v>
      </c>
      <c r="Y43">
        <f t="shared" si="4"/>
        <v>1.7181849807370833</v>
      </c>
      <c r="AA43">
        <v>2</v>
      </c>
      <c r="AB43">
        <v>1</v>
      </c>
      <c r="AC43">
        <v>1</v>
      </c>
      <c r="AD43">
        <v>0</v>
      </c>
      <c r="AE43">
        <v>0</v>
      </c>
    </row>
    <row r="44" spans="22:31" x14ac:dyDescent="0.15">
      <c r="V44">
        <f t="shared" si="5"/>
        <v>3.6783287680017933</v>
      </c>
      <c r="W44">
        <f t="shared" si="4"/>
        <v>1.6020903075149109</v>
      </c>
      <c r="X44">
        <f t="shared" si="4"/>
        <v>1.8002637380116431</v>
      </c>
      <c r="Y44">
        <f t="shared" si="4"/>
        <v>1.6676908617177855</v>
      </c>
      <c r="AA44">
        <v>2.1</v>
      </c>
      <c r="AB44">
        <v>1</v>
      </c>
      <c r="AC44">
        <v>3</v>
      </c>
      <c r="AD44">
        <v>0</v>
      </c>
      <c r="AE44">
        <v>0</v>
      </c>
    </row>
    <row r="45" spans="22:31" x14ac:dyDescent="0.15">
      <c r="V45">
        <f t="shared" si="5"/>
        <v>2.1519475904807437</v>
      </c>
      <c r="W45">
        <f t="shared" si="4"/>
        <v>1.594761742058362</v>
      </c>
      <c r="X45">
        <f t="shared" si="4"/>
        <v>1.5606478973799687</v>
      </c>
      <c r="Y45">
        <f t="shared" si="4"/>
        <v>1.6180632832612722</v>
      </c>
      <c r="AA45">
        <v>2.2000000000000002</v>
      </c>
      <c r="AB45">
        <v>2</v>
      </c>
      <c r="AC45">
        <v>0</v>
      </c>
      <c r="AD45">
        <v>0</v>
      </c>
      <c r="AE45">
        <v>0</v>
      </c>
    </row>
    <row r="46" spans="22:31" x14ac:dyDescent="0.15">
      <c r="V46">
        <f t="shared" si="5"/>
        <v>1.5810745660708796</v>
      </c>
      <c r="W46">
        <f t="shared" si="4"/>
        <v>1.7296685325216561</v>
      </c>
      <c r="X46">
        <f t="shared" si="4"/>
        <v>1.8148472754339402</v>
      </c>
      <c r="Y46">
        <f t="shared" si="4"/>
        <v>1.7606326962334664</v>
      </c>
      <c r="AA46">
        <v>2.2999999999999998</v>
      </c>
      <c r="AB46">
        <v>0</v>
      </c>
      <c r="AC46">
        <v>2</v>
      </c>
      <c r="AD46">
        <v>0</v>
      </c>
      <c r="AE46">
        <v>0</v>
      </c>
    </row>
    <row r="47" spans="22:31" x14ac:dyDescent="0.15">
      <c r="V47">
        <f t="shared" si="5"/>
        <v>1.2935103311450897</v>
      </c>
      <c r="W47">
        <f t="shared" si="4"/>
        <v>2.223386802798677</v>
      </c>
      <c r="X47">
        <f t="shared" si="4"/>
        <v>1.7073413380388514</v>
      </c>
      <c r="Y47">
        <f t="shared" si="4"/>
        <v>1.6465444465764028</v>
      </c>
      <c r="AA47">
        <v>2.4</v>
      </c>
      <c r="AB47">
        <v>0</v>
      </c>
      <c r="AC47">
        <v>0</v>
      </c>
      <c r="AD47">
        <v>0</v>
      </c>
      <c r="AE47">
        <v>0</v>
      </c>
    </row>
    <row r="48" spans="22:31" x14ac:dyDescent="0.15">
      <c r="V48">
        <f t="shared" si="5"/>
        <v>1.0657956206242569</v>
      </c>
      <c r="W48">
        <f t="shared" si="4"/>
        <v>1.5096766827184991</v>
      </c>
      <c r="X48">
        <f t="shared" si="4"/>
        <v>1.7373131591641826</v>
      </c>
      <c r="Y48">
        <f t="shared" si="4"/>
        <v>1.721315047848696</v>
      </c>
      <c r="AA48">
        <v>2.5</v>
      </c>
      <c r="AB48">
        <v>0</v>
      </c>
      <c r="AC48">
        <v>0</v>
      </c>
      <c r="AD48">
        <v>0</v>
      </c>
      <c r="AE48">
        <v>0</v>
      </c>
    </row>
    <row r="49" spans="22:31" x14ac:dyDescent="0.15">
      <c r="V49">
        <f t="shared" si="5"/>
        <v>0.88256231408122887</v>
      </c>
      <c r="W49">
        <f t="shared" si="4"/>
        <v>1.582870188663964</v>
      </c>
      <c r="X49">
        <f t="shared" si="4"/>
        <v>1.5601016766605034</v>
      </c>
      <c r="Y49">
        <f t="shared" si="4"/>
        <v>1.6340249962777624</v>
      </c>
      <c r="AA49">
        <v>2.6</v>
      </c>
      <c r="AB49">
        <v>3</v>
      </c>
      <c r="AC49">
        <v>1</v>
      </c>
      <c r="AD49">
        <v>1</v>
      </c>
      <c r="AE49">
        <v>1</v>
      </c>
    </row>
    <row r="51" spans="22:31" x14ac:dyDescent="0.15">
      <c r="AB51">
        <v>10</v>
      </c>
      <c r="AC51">
        <v>100</v>
      </c>
      <c r="AD51">
        <v>1000</v>
      </c>
      <c r="AE51">
        <v>5000</v>
      </c>
    </row>
    <row r="52" spans="22:31" x14ac:dyDescent="0.15">
      <c r="V52">
        <v>10</v>
      </c>
      <c r="W52">
        <v>100</v>
      </c>
      <c r="X52">
        <v>1000</v>
      </c>
      <c r="Y52">
        <v>5000</v>
      </c>
      <c r="AA52">
        <v>0</v>
      </c>
      <c r="AB52">
        <f t="array" ref="AB52:AB82">FREQUENCY(V52:V73,$AA$52:$AA$82)</f>
        <v>0</v>
      </c>
      <c r="AC52">
        <f t="array" ref="AC52:AC82">FREQUENCY(W52:W73,$AA$52:$AA$82)</f>
        <v>0</v>
      </c>
      <c r="AD52">
        <f t="array" ref="AD52:AD82">FREQUENCY(X52:X73,$AA$52:$AA$82)</f>
        <v>0</v>
      </c>
      <c r="AE52">
        <f t="array" ref="AE52:AE82">FREQUENCY(Y52:Y73,$AA$52:$AA$82)</f>
        <v>0</v>
      </c>
    </row>
    <row r="53" spans="22:31" x14ac:dyDescent="0.15">
      <c r="V53">
        <f>MeanOfLogNormalCallOption(V$3,0,1,2)</f>
        <v>0.14961390950940201</v>
      </c>
      <c r="W53">
        <f t="shared" ref="W53:Y73" si="6">MeanOfLogNormalCallOption(W$3,0,1,2)</f>
        <v>0.57545639462510123</v>
      </c>
      <c r="X53">
        <f t="shared" si="6"/>
        <v>0.54010579827794725</v>
      </c>
      <c r="Y53">
        <f>MeanOfLogNormalCallOption(Y$3,0,1,2)</f>
        <v>0.52382807120059216</v>
      </c>
      <c r="AA53">
        <v>0.05</v>
      </c>
      <c r="AB53">
        <v>2</v>
      </c>
      <c r="AC53">
        <v>0</v>
      </c>
      <c r="AD53">
        <v>0</v>
      </c>
      <c r="AE53">
        <v>0</v>
      </c>
    </row>
    <row r="54" spans="22:31" x14ac:dyDescent="0.15">
      <c r="V54">
        <f t="shared" ref="V54:Y73" si="7">MeanOfLogNormalCallOption(V$3,0,1,2)</f>
        <v>0.12748714043366371</v>
      </c>
      <c r="W54">
        <f t="shared" si="6"/>
        <v>0.53878722009935764</v>
      </c>
      <c r="X54">
        <f t="shared" si="6"/>
        <v>0.61425300670401461</v>
      </c>
      <c r="Y54">
        <f t="shared" si="6"/>
        <v>0.54958713788780911</v>
      </c>
      <c r="AA54">
        <v>0.1</v>
      </c>
      <c r="AB54">
        <v>2</v>
      </c>
      <c r="AC54">
        <v>0</v>
      </c>
      <c r="AD54">
        <v>0</v>
      </c>
      <c r="AE54">
        <v>0</v>
      </c>
    </row>
    <row r="55" spans="22:31" x14ac:dyDescent="0.15">
      <c r="V55">
        <f t="shared" si="7"/>
        <v>0.21175610215563148</v>
      </c>
      <c r="W55">
        <f t="shared" si="6"/>
        <v>0.74569623763771942</v>
      </c>
      <c r="X55">
        <f t="shared" si="6"/>
        <v>0.53670829238453432</v>
      </c>
      <c r="Y55">
        <f t="shared" si="6"/>
        <v>0.52099922281541666</v>
      </c>
      <c r="AA55">
        <v>0.15</v>
      </c>
      <c r="AB55">
        <v>4</v>
      </c>
      <c r="AC55">
        <v>0</v>
      </c>
      <c r="AD55">
        <v>0</v>
      </c>
      <c r="AE55">
        <v>0</v>
      </c>
    </row>
    <row r="56" spans="22:31" x14ac:dyDescent="0.15">
      <c r="V56">
        <f t="shared" si="7"/>
        <v>0.30101373995207154</v>
      </c>
      <c r="W56">
        <f t="shared" si="6"/>
        <v>0.38712908388663658</v>
      </c>
      <c r="X56">
        <f t="shared" si="6"/>
        <v>0.4599212304418322</v>
      </c>
      <c r="Y56">
        <f t="shared" si="6"/>
        <v>0.5203426476826154</v>
      </c>
      <c r="AA56">
        <v>0.2</v>
      </c>
      <c r="AB56">
        <v>1</v>
      </c>
      <c r="AC56">
        <v>0</v>
      </c>
      <c r="AD56">
        <v>0</v>
      </c>
      <c r="AE56">
        <v>0</v>
      </c>
    </row>
    <row r="57" spans="22:31" x14ac:dyDescent="0.15">
      <c r="V57">
        <f t="shared" si="7"/>
        <v>0.16515677087790084</v>
      </c>
      <c r="W57">
        <f t="shared" si="6"/>
        <v>0.32583891788347907</v>
      </c>
      <c r="X57">
        <f t="shared" si="6"/>
        <v>0.65401647829946041</v>
      </c>
      <c r="Y57">
        <f t="shared" si="6"/>
        <v>0.54907535263211882</v>
      </c>
      <c r="AA57">
        <v>0.25</v>
      </c>
      <c r="AB57">
        <v>2</v>
      </c>
      <c r="AC57">
        <v>0</v>
      </c>
      <c r="AD57">
        <v>0</v>
      </c>
      <c r="AE57">
        <v>0</v>
      </c>
    </row>
    <row r="58" spans="22:31" x14ac:dyDescent="0.15">
      <c r="V58">
        <f t="shared" si="7"/>
        <v>0.37366326507282066</v>
      </c>
      <c r="W58">
        <f t="shared" si="6"/>
        <v>0.71115324636060495</v>
      </c>
      <c r="X58">
        <f t="shared" si="6"/>
        <v>0.51992675125834431</v>
      </c>
      <c r="Y58">
        <f t="shared" si="6"/>
        <v>0.54002583165036488</v>
      </c>
      <c r="AA58">
        <v>0.3</v>
      </c>
      <c r="AB58">
        <v>0</v>
      </c>
      <c r="AC58">
        <v>1</v>
      </c>
      <c r="AD58">
        <v>0</v>
      </c>
      <c r="AE58">
        <v>0</v>
      </c>
    </row>
    <row r="59" spans="22:31" x14ac:dyDescent="0.15">
      <c r="V59">
        <f t="shared" si="7"/>
        <v>2.4635741572402427E-2</v>
      </c>
      <c r="W59">
        <f t="shared" si="6"/>
        <v>0.50624321054365162</v>
      </c>
      <c r="X59">
        <f t="shared" si="6"/>
        <v>0.53209355583985374</v>
      </c>
      <c r="Y59">
        <f t="shared" si="6"/>
        <v>0.52588193027352259</v>
      </c>
      <c r="AA59">
        <v>0.35</v>
      </c>
      <c r="AB59">
        <v>1</v>
      </c>
      <c r="AC59">
        <v>4</v>
      </c>
      <c r="AD59">
        <v>0</v>
      </c>
      <c r="AE59">
        <v>0</v>
      </c>
    </row>
    <row r="60" spans="22:31" x14ac:dyDescent="0.15">
      <c r="V60">
        <f t="shared" si="7"/>
        <v>0.11981838234369309</v>
      </c>
      <c r="W60">
        <f t="shared" si="6"/>
        <v>0.39155333207443926</v>
      </c>
      <c r="X60">
        <f t="shared" si="6"/>
        <v>0.54270494428219462</v>
      </c>
      <c r="Y60">
        <f t="shared" si="6"/>
        <v>0.54106707792225861</v>
      </c>
      <c r="AA60">
        <v>0.4</v>
      </c>
      <c r="AB60">
        <v>2</v>
      </c>
      <c r="AC60">
        <v>3</v>
      </c>
      <c r="AD60">
        <v>0</v>
      </c>
      <c r="AE60">
        <v>0</v>
      </c>
    </row>
    <row r="61" spans="22:31" x14ac:dyDescent="0.15">
      <c r="V61">
        <f t="shared" si="7"/>
        <v>0.11020796637113368</v>
      </c>
      <c r="W61">
        <f t="shared" si="6"/>
        <v>0.69320427307670573</v>
      </c>
      <c r="X61">
        <f t="shared" si="6"/>
        <v>0.45967268051648663</v>
      </c>
      <c r="Y61">
        <f t="shared" si="6"/>
        <v>0.51499136783981958</v>
      </c>
      <c r="AA61">
        <v>0.45</v>
      </c>
      <c r="AB61">
        <v>0</v>
      </c>
      <c r="AC61">
        <v>1</v>
      </c>
      <c r="AD61">
        <v>1</v>
      </c>
      <c r="AE61">
        <v>0</v>
      </c>
    </row>
    <row r="62" spans="22:31" x14ac:dyDescent="0.15">
      <c r="V62">
        <f t="shared" si="7"/>
        <v>8.3738231927995163E-2</v>
      </c>
      <c r="W62">
        <f t="shared" si="6"/>
        <v>0.32979115864644776</v>
      </c>
      <c r="X62">
        <f t="shared" si="6"/>
        <v>0.49785785083617573</v>
      </c>
      <c r="Y62">
        <f t="shared" si="6"/>
        <v>0.53784381949742188</v>
      </c>
      <c r="AA62">
        <v>0.5</v>
      </c>
      <c r="AB62">
        <v>0</v>
      </c>
      <c r="AC62">
        <v>1</v>
      </c>
      <c r="AD62">
        <v>4</v>
      </c>
      <c r="AE62">
        <v>0</v>
      </c>
    </row>
    <row r="63" spans="22:31" x14ac:dyDescent="0.15">
      <c r="V63">
        <f t="shared" si="7"/>
        <v>0.72521911610740697</v>
      </c>
      <c r="W63">
        <f t="shared" si="6"/>
        <v>0.62780766666805543</v>
      </c>
      <c r="X63">
        <f t="shared" si="6"/>
        <v>0.51162083653510604</v>
      </c>
      <c r="Y63">
        <f t="shared" si="6"/>
        <v>0.53130063653700443</v>
      </c>
      <c r="AA63">
        <v>0.55000000000000004</v>
      </c>
      <c r="AB63">
        <v>0</v>
      </c>
      <c r="AC63">
        <v>3</v>
      </c>
      <c r="AD63">
        <v>11</v>
      </c>
      <c r="AE63">
        <v>19</v>
      </c>
    </row>
    <row r="64" spans="22:31" x14ac:dyDescent="0.15">
      <c r="V64">
        <f t="shared" si="7"/>
        <v>0.36399859262599027</v>
      </c>
      <c r="W64">
        <f t="shared" si="6"/>
        <v>0.73478017352237035</v>
      </c>
      <c r="X64">
        <f t="shared" si="6"/>
        <v>0.54081322860208569</v>
      </c>
      <c r="Y64">
        <f t="shared" si="6"/>
        <v>0.50386415806056539</v>
      </c>
      <c r="AA64">
        <v>0.6</v>
      </c>
      <c r="AB64">
        <v>1</v>
      </c>
      <c r="AC64">
        <v>1</v>
      </c>
      <c r="AD64">
        <v>3</v>
      </c>
      <c r="AE64">
        <v>2</v>
      </c>
    </row>
    <row r="65" spans="22:31" x14ac:dyDescent="0.15">
      <c r="V65">
        <f t="shared" si="7"/>
        <v>3.9671782723895446E-2</v>
      </c>
      <c r="W65">
        <f t="shared" si="6"/>
        <v>0.53524318884647604</v>
      </c>
      <c r="X65">
        <f t="shared" si="6"/>
        <v>0.46460886561227016</v>
      </c>
      <c r="Y65">
        <f t="shared" si="6"/>
        <v>0.52048354637518612</v>
      </c>
      <c r="AA65">
        <v>0.65</v>
      </c>
      <c r="AB65">
        <v>0</v>
      </c>
      <c r="AC65">
        <v>2</v>
      </c>
      <c r="AD65">
        <v>1</v>
      </c>
      <c r="AE65">
        <v>0</v>
      </c>
    </row>
    <row r="66" spans="22:31" x14ac:dyDescent="0.15">
      <c r="V66">
        <f t="shared" si="7"/>
        <v>1.0054203891434743</v>
      </c>
      <c r="W66">
        <f t="shared" si="6"/>
        <v>1.0462220904769028</v>
      </c>
      <c r="X66">
        <f t="shared" si="6"/>
        <v>0.52612623985797302</v>
      </c>
      <c r="Y66">
        <f t="shared" si="6"/>
        <v>0.58270130653942653</v>
      </c>
      <c r="AA66">
        <v>0.7</v>
      </c>
      <c r="AB66">
        <v>0</v>
      </c>
      <c r="AC66">
        <v>1</v>
      </c>
      <c r="AD66">
        <v>1</v>
      </c>
      <c r="AE66">
        <v>0</v>
      </c>
    </row>
    <row r="67" spans="22:31" x14ac:dyDescent="0.15">
      <c r="V67">
        <f t="shared" si="7"/>
        <v>0.23372922097132554</v>
      </c>
      <c r="W67">
        <f t="shared" si="6"/>
        <v>0.40095744302155234</v>
      </c>
      <c r="X67">
        <f t="shared" si="6"/>
        <v>0.53955984626024667</v>
      </c>
      <c r="Y67">
        <f t="shared" si="6"/>
        <v>0.51998803525078696</v>
      </c>
      <c r="AA67">
        <v>0.75</v>
      </c>
      <c r="AB67">
        <v>2</v>
      </c>
      <c r="AC67">
        <v>3</v>
      </c>
      <c r="AD67">
        <v>0</v>
      </c>
      <c r="AE67">
        <v>0</v>
      </c>
    </row>
    <row r="68" spans="22:31" x14ac:dyDescent="0.15">
      <c r="V68">
        <f t="shared" si="7"/>
        <v>1.1832803297959105</v>
      </c>
      <c r="W68">
        <f t="shared" si="6"/>
        <v>0.46324506083330169</v>
      </c>
      <c r="X68">
        <f t="shared" si="6"/>
        <v>0.58087346536646733</v>
      </c>
      <c r="Y68">
        <f t="shared" si="6"/>
        <v>0.52488587223918315</v>
      </c>
      <c r="AA68">
        <v>0.8</v>
      </c>
      <c r="AB68">
        <v>1</v>
      </c>
      <c r="AC68">
        <v>0</v>
      </c>
      <c r="AD68">
        <v>0</v>
      </c>
      <c r="AE68">
        <v>0</v>
      </c>
    </row>
    <row r="69" spans="22:31" x14ac:dyDescent="0.15">
      <c r="V69">
        <f t="shared" si="7"/>
        <v>7.7610767962611987E-2</v>
      </c>
      <c r="W69">
        <f t="shared" si="6"/>
        <v>0.34583557655113234</v>
      </c>
      <c r="X69">
        <f t="shared" si="6"/>
        <v>0.50267021531538914</v>
      </c>
      <c r="Y69">
        <f t="shared" si="6"/>
        <v>0.52192756311023536</v>
      </c>
      <c r="AA69">
        <v>0.85</v>
      </c>
      <c r="AB69">
        <v>0</v>
      </c>
      <c r="AC69">
        <v>0</v>
      </c>
      <c r="AD69">
        <v>0</v>
      </c>
      <c r="AE69">
        <v>0</v>
      </c>
    </row>
    <row r="70" spans="22:31" x14ac:dyDescent="0.15">
      <c r="V70">
        <f t="shared" si="7"/>
        <v>0.78588642582395563</v>
      </c>
      <c r="W70">
        <f t="shared" si="6"/>
        <v>0.61342948177054024</v>
      </c>
      <c r="X70">
        <f t="shared" si="6"/>
        <v>0.44019572312268695</v>
      </c>
      <c r="Y70">
        <f t="shared" si="6"/>
        <v>0.58137882590872014</v>
      </c>
      <c r="AA70">
        <v>0.9</v>
      </c>
      <c r="AB70">
        <v>0</v>
      </c>
      <c r="AC70">
        <v>0</v>
      </c>
      <c r="AD70">
        <v>0</v>
      </c>
      <c r="AE70">
        <v>0</v>
      </c>
    </row>
    <row r="71" spans="22:31" x14ac:dyDescent="0.15">
      <c r="V71">
        <f t="shared" si="7"/>
        <v>0.56585614999056255</v>
      </c>
      <c r="W71">
        <f t="shared" si="6"/>
        <v>0.37657758570937916</v>
      </c>
      <c r="X71">
        <f t="shared" si="6"/>
        <v>0.57274047169633391</v>
      </c>
      <c r="Y71">
        <f t="shared" si="6"/>
        <v>0.51235668854242233</v>
      </c>
      <c r="AA71">
        <v>0.95</v>
      </c>
      <c r="AB71">
        <v>0</v>
      </c>
      <c r="AC71">
        <v>0</v>
      </c>
      <c r="AD71">
        <v>0</v>
      </c>
      <c r="AE71">
        <v>0</v>
      </c>
    </row>
    <row r="72" spans="22:31" x14ac:dyDescent="0.15">
      <c r="V72">
        <f t="shared" si="7"/>
        <v>0.74212920794254555</v>
      </c>
      <c r="W72">
        <f t="shared" si="6"/>
        <v>0.27380783201259462</v>
      </c>
      <c r="X72">
        <f t="shared" si="6"/>
        <v>0.5614079997889575</v>
      </c>
      <c r="Y72">
        <f t="shared" si="6"/>
        <v>0.51732535580036676</v>
      </c>
      <c r="AA72">
        <v>1</v>
      </c>
      <c r="AB72">
        <v>0</v>
      </c>
      <c r="AC72">
        <v>0</v>
      </c>
      <c r="AD72">
        <v>0</v>
      </c>
      <c r="AE72">
        <v>0</v>
      </c>
    </row>
    <row r="73" spans="22:31" x14ac:dyDescent="0.15">
      <c r="V73">
        <f t="shared" si="7"/>
        <v>1.3868349240353339</v>
      </c>
      <c r="W73">
        <f t="shared" si="6"/>
        <v>0.33178685368049166</v>
      </c>
      <c r="X73">
        <f t="shared" si="6"/>
        <v>0.53549999678456139</v>
      </c>
      <c r="Y73">
        <f t="shared" si="6"/>
        <v>0.51422397137960152</v>
      </c>
      <c r="AA73">
        <v>1.05</v>
      </c>
      <c r="AB73">
        <v>1</v>
      </c>
      <c r="AC73">
        <v>1</v>
      </c>
      <c r="AD73">
        <v>0</v>
      </c>
      <c r="AE73">
        <v>0</v>
      </c>
    </row>
    <row r="74" spans="22:31" x14ac:dyDescent="0.15">
      <c r="AA74">
        <v>1.1000000000000001</v>
      </c>
      <c r="AB74">
        <v>0</v>
      </c>
      <c r="AC74">
        <v>0</v>
      </c>
      <c r="AD74">
        <v>0</v>
      </c>
      <c r="AE74">
        <v>0</v>
      </c>
    </row>
    <row r="75" spans="22:31" x14ac:dyDescent="0.15">
      <c r="AA75">
        <v>1.1499999999999999</v>
      </c>
      <c r="AB75">
        <v>0</v>
      </c>
      <c r="AC75">
        <v>0</v>
      </c>
      <c r="AD75">
        <v>0</v>
      </c>
      <c r="AE75">
        <v>0</v>
      </c>
    </row>
    <row r="76" spans="22:31" x14ac:dyDescent="0.15">
      <c r="AA76">
        <v>1.2</v>
      </c>
      <c r="AB76">
        <v>1</v>
      </c>
      <c r="AC76">
        <v>0</v>
      </c>
      <c r="AD76">
        <v>0</v>
      </c>
      <c r="AE76">
        <v>0</v>
      </c>
    </row>
    <row r="77" spans="22:31" x14ac:dyDescent="0.15">
      <c r="AA77">
        <v>1.25</v>
      </c>
      <c r="AB77">
        <v>0</v>
      </c>
      <c r="AC77">
        <v>0</v>
      </c>
      <c r="AD77">
        <v>0</v>
      </c>
      <c r="AE77">
        <v>0</v>
      </c>
    </row>
    <row r="78" spans="22:31" x14ac:dyDescent="0.15">
      <c r="AA78">
        <v>1.3</v>
      </c>
      <c r="AB78">
        <v>0</v>
      </c>
      <c r="AC78">
        <v>0</v>
      </c>
      <c r="AD78">
        <v>0</v>
      </c>
      <c r="AE78">
        <v>0</v>
      </c>
    </row>
    <row r="79" spans="22:31" x14ac:dyDescent="0.15">
      <c r="AA79">
        <v>1.35</v>
      </c>
      <c r="AB79">
        <v>0</v>
      </c>
      <c r="AC79">
        <v>0</v>
      </c>
      <c r="AD79">
        <v>0</v>
      </c>
      <c r="AE79">
        <v>0</v>
      </c>
    </row>
    <row r="80" spans="22:31" x14ac:dyDescent="0.15">
      <c r="AA80">
        <v>1.4</v>
      </c>
      <c r="AB80">
        <v>1</v>
      </c>
      <c r="AC80">
        <v>0</v>
      </c>
      <c r="AD80">
        <v>0</v>
      </c>
      <c r="AE80">
        <v>0</v>
      </c>
    </row>
    <row r="81" spans="27:31" x14ac:dyDescent="0.15">
      <c r="AA81">
        <v>1.45</v>
      </c>
      <c r="AB81">
        <v>0</v>
      </c>
      <c r="AC81">
        <v>0</v>
      </c>
      <c r="AD81">
        <v>0</v>
      </c>
      <c r="AE81">
        <v>0</v>
      </c>
    </row>
    <row r="82" spans="27:31" x14ac:dyDescent="0.15">
      <c r="AA82">
        <v>1.5</v>
      </c>
      <c r="AB82">
        <v>0</v>
      </c>
      <c r="AC82">
        <v>0</v>
      </c>
      <c r="AD82">
        <v>0</v>
      </c>
      <c r="AE82">
        <v>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森本裕介</dc:creator>
  <cp:lastModifiedBy>森本裕介</cp:lastModifiedBy>
  <dcterms:created xsi:type="dcterms:W3CDTF">2017-03-05T15:42:06Z</dcterms:created>
  <dcterms:modified xsi:type="dcterms:W3CDTF">2017-03-05T17:07:00Z</dcterms:modified>
</cp:coreProperties>
</file>