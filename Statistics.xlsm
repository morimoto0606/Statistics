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rim\Documents\GitHub\Statistics\"/>
    </mc:Choice>
  </mc:AlternateContent>
  <bookViews>
    <workbookView xWindow="0" yWindow="0" windowWidth="20220" windowHeight="706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" i="1" l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Z4" i="1" l="1" a="1"/>
  <c r="K25" i="1"/>
  <c r="J25" i="1"/>
  <c r="I25" i="1"/>
  <c r="H25" i="1"/>
  <c r="K24" i="1"/>
  <c r="J24" i="1"/>
  <c r="I24" i="1"/>
  <c r="H24" i="1"/>
  <c r="K23" i="1"/>
  <c r="J23" i="1"/>
  <c r="I23" i="1"/>
  <c r="H23" i="1"/>
  <c r="K22" i="1"/>
  <c r="J22" i="1"/>
  <c r="I22" i="1"/>
  <c r="H22" i="1"/>
  <c r="K21" i="1"/>
  <c r="J21" i="1"/>
  <c r="I21" i="1"/>
  <c r="H21" i="1"/>
  <c r="K20" i="1"/>
  <c r="J20" i="1"/>
  <c r="I20" i="1"/>
  <c r="H20" i="1"/>
  <c r="K19" i="1"/>
  <c r="J19" i="1"/>
  <c r="I19" i="1"/>
  <c r="H19" i="1"/>
  <c r="K18" i="1"/>
  <c r="J18" i="1"/>
  <c r="I18" i="1"/>
  <c r="H18" i="1"/>
  <c r="K17" i="1"/>
  <c r="J17" i="1"/>
  <c r="I17" i="1"/>
  <c r="H17" i="1"/>
  <c r="K16" i="1"/>
  <c r="J16" i="1"/>
  <c r="I16" i="1"/>
  <c r="H16" i="1"/>
  <c r="K15" i="1"/>
  <c r="J15" i="1"/>
  <c r="I15" i="1"/>
  <c r="H15" i="1"/>
  <c r="K14" i="1"/>
  <c r="J14" i="1"/>
  <c r="I14" i="1"/>
  <c r="H14" i="1"/>
  <c r="K13" i="1"/>
  <c r="J13" i="1"/>
  <c r="I13" i="1"/>
  <c r="H13" i="1"/>
  <c r="K12" i="1"/>
  <c r="J12" i="1"/>
  <c r="I12" i="1"/>
  <c r="H12" i="1"/>
  <c r="K11" i="1"/>
  <c r="J11" i="1"/>
  <c r="I11" i="1"/>
  <c r="H11" i="1"/>
  <c r="K10" i="1"/>
  <c r="J10" i="1"/>
  <c r="I10" i="1"/>
  <c r="H10" i="1"/>
  <c r="K9" i="1"/>
  <c r="J9" i="1"/>
  <c r="I9" i="1"/>
  <c r="H9" i="1"/>
  <c r="K8" i="1"/>
  <c r="J8" i="1"/>
  <c r="I8" i="1"/>
  <c r="H8" i="1"/>
  <c r="K7" i="1"/>
  <c r="J7" i="1"/>
  <c r="I7" i="1"/>
  <c r="H7" i="1"/>
  <c r="K6" i="1"/>
  <c r="J6" i="1"/>
  <c r="I6" i="1"/>
  <c r="H6" i="1"/>
  <c r="K5" i="1"/>
  <c r="J5" i="1"/>
  <c r="I5" i="1"/>
  <c r="H5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B6" i="1"/>
  <c r="U71" i="1"/>
  <c r="U67" i="1"/>
  <c r="U63" i="1"/>
  <c r="U59" i="1"/>
  <c r="U55" i="1"/>
  <c r="W71" i="1"/>
  <c r="W63" i="1"/>
  <c r="W55" i="1"/>
  <c r="V70" i="1"/>
  <c r="V63" i="1"/>
  <c r="V55" i="1"/>
  <c r="T55" i="1"/>
  <c r="W68" i="1"/>
  <c r="W60" i="1"/>
  <c r="V68" i="1"/>
  <c r="V60" i="1"/>
  <c r="T53" i="1"/>
  <c r="U46" i="1"/>
  <c r="U42" i="1"/>
  <c r="U38" i="1"/>
  <c r="U34" i="1"/>
  <c r="U30" i="1"/>
  <c r="W44" i="1"/>
  <c r="W37" i="1"/>
  <c r="W29" i="1"/>
  <c r="V46" i="1"/>
  <c r="V41" i="1"/>
  <c r="V33" i="1"/>
  <c r="T48" i="1"/>
  <c r="T44" i="1"/>
  <c r="T40" i="1"/>
  <c r="T36" i="1"/>
  <c r="T32" i="1"/>
  <c r="W47" i="1"/>
  <c r="W38" i="1"/>
  <c r="W30" i="1"/>
  <c r="V36" i="1"/>
  <c r="T29" i="1"/>
  <c r="W12" i="1"/>
  <c r="W13" i="1"/>
  <c r="W15" i="1"/>
  <c r="W18" i="1"/>
  <c r="W21" i="1"/>
  <c r="V20" i="1"/>
  <c r="V12" i="1"/>
  <c r="V4" i="1"/>
  <c r="U24" i="1"/>
  <c r="U16" i="1"/>
  <c r="U8" i="1"/>
  <c r="U15" i="1"/>
  <c r="V21" i="1"/>
  <c r="V13" i="1"/>
  <c r="V5" i="1"/>
  <c r="C6" i="1"/>
  <c r="W53" i="1"/>
  <c r="U70" i="1"/>
  <c r="U66" i="1"/>
  <c r="U62" i="1"/>
  <c r="U58" i="1"/>
  <c r="U54" i="1"/>
  <c r="W69" i="1"/>
  <c r="W61" i="1"/>
  <c r="V73" i="1"/>
  <c r="V69" i="1"/>
  <c r="V61" i="1"/>
  <c r="V53" i="1"/>
  <c r="T54" i="1"/>
  <c r="W66" i="1"/>
  <c r="W58" i="1"/>
  <c r="V66" i="1"/>
  <c r="V58" i="1"/>
  <c r="U49" i="1"/>
  <c r="U45" i="1"/>
  <c r="U41" i="1"/>
  <c r="U37" i="1"/>
  <c r="U33" i="1"/>
  <c r="U29" i="1"/>
  <c r="W43" i="1"/>
  <c r="W35" i="1"/>
  <c r="V49" i="1"/>
  <c r="V45" i="1"/>
  <c r="V39" i="1"/>
  <c r="V31" i="1"/>
  <c r="T47" i="1"/>
  <c r="T43" i="1"/>
  <c r="T39" i="1"/>
  <c r="T35" i="1"/>
  <c r="T31" i="1"/>
  <c r="W45" i="1"/>
  <c r="W36" i="1"/>
  <c r="V43" i="1"/>
  <c r="V34" i="1"/>
  <c r="W24" i="1"/>
  <c r="W8" i="1"/>
  <c r="W5" i="1"/>
  <c r="W11" i="1"/>
  <c r="W14" i="1"/>
  <c r="W9" i="1"/>
  <c r="V18" i="1"/>
  <c r="V10" i="1"/>
  <c r="U19" i="1"/>
  <c r="U22" i="1"/>
  <c r="U14" i="1"/>
  <c r="U6" i="1"/>
  <c r="U9" i="1"/>
  <c r="V19" i="1"/>
  <c r="V11" i="1"/>
  <c r="U23" i="1"/>
  <c r="U73" i="1"/>
  <c r="U69" i="1"/>
  <c r="U65" i="1"/>
  <c r="U61" i="1"/>
  <c r="U57" i="1"/>
  <c r="U53" i="1"/>
  <c r="W67" i="1"/>
  <c r="W59" i="1"/>
  <c r="V72" i="1"/>
  <c r="V67" i="1"/>
  <c r="V59" i="1"/>
  <c r="W73" i="1"/>
  <c r="W64" i="1"/>
  <c r="W56" i="1"/>
  <c r="V64" i="1"/>
  <c r="V56" i="1"/>
  <c r="U48" i="1"/>
  <c r="U44" i="1"/>
  <c r="U40" i="1"/>
  <c r="U36" i="1"/>
  <c r="U32" i="1"/>
  <c r="W48" i="1"/>
  <c r="W41" i="1"/>
  <c r="W33" i="1"/>
  <c r="V48" i="1"/>
  <c r="V44" i="1"/>
  <c r="V37" i="1"/>
  <c r="V29" i="1"/>
  <c r="T46" i="1"/>
  <c r="T42" i="1"/>
  <c r="T38" i="1"/>
  <c r="T34" i="1"/>
  <c r="T30" i="1"/>
  <c r="W42" i="1"/>
  <c r="W34" i="1"/>
  <c r="V40" i="1"/>
  <c r="V32" i="1"/>
  <c r="W20" i="1"/>
  <c r="W4" i="1"/>
  <c r="W23" i="1"/>
  <c r="W7" i="1"/>
  <c r="W10" i="1"/>
  <c r="V24" i="1"/>
  <c r="V16" i="1"/>
  <c r="V8" i="1"/>
  <c r="U17" i="1"/>
  <c r="U20" i="1"/>
  <c r="U12" i="1"/>
  <c r="U4" i="1"/>
  <c r="U5" i="1"/>
  <c r="V17" i="1"/>
  <c r="V9" i="1"/>
  <c r="U13" i="1"/>
  <c r="U72" i="1"/>
  <c r="U68" i="1"/>
  <c r="U64" i="1"/>
  <c r="U60" i="1"/>
  <c r="U56" i="1"/>
  <c r="W72" i="1"/>
  <c r="W65" i="1"/>
  <c r="W57" i="1"/>
  <c r="V71" i="1"/>
  <c r="V65" i="1"/>
  <c r="V57" i="1"/>
  <c r="W70" i="1"/>
  <c r="W62" i="1"/>
  <c r="W54" i="1"/>
  <c r="V62" i="1"/>
  <c r="V54" i="1"/>
  <c r="U47" i="1"/>
  <c r="U43" i="1"/>
  <c r="U39" i="1"/>
  <c r="U35" i="1"/>
  <c r="U31" i="1"/>
  <c r="W46" i="1"/>
  <c r="W39" i="1"/>
  <c r="W31" i="1"/>
  <c r="V47" i="1"/>
  <c r="V42" i="1"/>
  <c r="V35" i="1"/>
  <c r="T49" i="1"/>
  <c r="T45" i="1"/>
  <c r="T41" i="1"/>
  <c r="T37" i="1"/>
  <c r="T33" i="1"/>
  <c r="W49" i="1"/>
  <c r="W40" i="1"/>
  <c r="W32" i="1"/>
  <c r="V38" i="1"/>
  <c r="V30" i="1"/>
  <c r="W16" i="1"/>
  <c r="W17" i="1"/>
  <c r="W19" i="1"/>
  <c r="W22" i="1"/>
  <c r="W6" i="1"/>
  <c r="V22" i="1"/>
  <c r="V14" i="1"/>
  <c r="V6" i="1"/>
  <c r="U11" i="1"/>
  <c r="U18" i="1"/>
  <c r="U10" i="1"/>
  <c r="U21" i="1"/>
  <c r="V23" i="1"/>
  <c r="V15" i="1"/>
  <c r="V7" i="1"/>
  <c r="U7" i="1"/>
  <c r="Z5" i="1" l="1"/>
  <c r="Z9" i="1"/>
  <c r="Z13" i="1"/>
  <c r="Z17" i="1"/>
  <c r="Z21" i="1"/>
  <c r="Z10" i="1"/>
  <c r="Z14" i="1"/>
  <c r="Z22" i="1"/>
  <c r="Z25" i="1"/>
  <c r="Z4" i="1"/>
  <c r="Z16" i="1"/>
  <c r="Z6" i="1"/>
  <c r="Z18" i="1"/>
  <c r="Z12" i="1"/>
  <c r="Z24" i="1"/>
  <c r="Z7" i="1"/>
  <c r="Z11" i="1"/>
  <c r="Z15" i="1"/>
  <c r="Z19" i="1"/>
  <c r="Z23" i="1"/>
  <c r="Z8" i="1"/>
  <c r="Z20" i="1"/>
  <c r="AB28" i="1" a="1"/>
  <c r="AB49" i="1" s="1"/>
  <c r="AA52" i="1" a="1"/>
  <c r="AA82" i="1" s="1"/>
  <c r="AA28" i="1" a="1"/>
  <c r="AA31" i="1" s="1"/>
  <c r="AB52" i="1" a="1"/>
  <c r="AB82" i="1" s="1"/>
  <c r="AC52" i="1" a="1"/>
  <c r="AC82" i="1" s="1"/>
  <c r="Z28" i="1" a="1"/>
  <c r="Z28" i="1" s="1"/>
  <c r="AC28" i="1" a="1"/>
  <c r="AC31" i="1" s="1"/>
  <c r="Z52" i="1" a="1"/>
  <c r="Z52" i="1" s="1"/>
  <c r="AC79" i="1"/>
  <c r="AC53" i="1"/>
  <c r="AC61" i="1"/>
  <c r="AC65" i="1"/>
  <c r="AC73" i="1"/>
  <c r="AC55" i="1"/>
  <c r="AC59" i="1"/>
  <c r="AC63" i="1"/>
  <c r="AC67" i="1"/>
  <c r="AC71" i="1"/>
  <c r="AC75" i="1"/>
  <c r="AC52" i="1"/>
  <c r="AC56" i="1"/>
  <c r="AC60" i="1"/>
  <c r="AC64" i="1"/>
  <c r="AC68" i="1"/>
  <c r="AC72" i="1"/>
  <c r="AC76" i="1"/>
  <c r="AC80" i="1"/>
  <c r="AC54" i="1"/>
  <c r="AC58" i="1"/>
  <c r="AC62" i="1"/>
  <c r="AC66" i="1"/>
  <c r="AC70" i="1"/>
  <c r="AC74" i="1"/>
  <c r="AC78" i="1"/>
  <c r="AB31" i="1"/>
  <c r="AB35" i="1"/>
  <c r="AB39" i="1"/>
  <c r="AB43" i="1"/>
  <c r="AB47" i="1"/>
  <c r="AB30" i="1"/>
  <c r="AB38" i="1"/>
  <c r="AB46" i="1"/>
  <c r="AB28" i="1"/>
  <c r="AB32" i="1"/>
  <c r="AB36" i="1"/>
  <c r="AB40" i="1"/>
  <c r="AB44" i="1"/>
  <c r="AB48" i="1"/>
  <c r="AB34" i="1"/>
  <c r="AB42" i="1"/>
  <c r="AB29" i="1"/>
  <c r="AB33" i="1"/>
  <c r="AB37" i="1"/>
  <c r="AB41" i="1"/>
  <c r="AB45" i="1"/>
  <c r="AA39" i="1"/>
  <c r="AA43" i="1"/>
  <c r="AA4" i="1" a="1"/>
  <c r="AA4" i="1" s="1"/>
  <c r="AB4" i="1" a="1"/>
  <c r="AB4" i="1" s="1"/>
  <c r="AC4" i="1" a="1"/>
  <c r="AC25" i="1" s="1"/>
  <c r="AC77" i="1" l="1"/>
  <c r="AC57" i="1"/>
  <c r="AA24" i="1"/>
  <c r="AC40" i="1"/>
  <c r="AC45" i="1"/>
  <c r="AC36" i="1"/>
  <c r="AA5" i="1"/>
  <c r="AC33" i="1"/>
  <c r="AC43" i="1"/>
  <c r="AC29" i="1"/>
  <c r="AC39" i="1"/>
  <c r="AA7" i="1"/>
  <c r="Z36" i="1"/>
  <c r="Z35" i="1"/>
  <c r="Z41" i="1"/>
  <c r="Z30" i="1"/>
  <c r="Z46" i="1"/>
  <c r="AA66" i="1"/>
  <c r="AA80" i="1"/>
  <c r="AA64" i="1"/>
  <c r="AA69" i="1"/>
  <c r="AA53" i="1"/>
  <c r="AA71" i="1"/>
  <c r="AA55" i="1"/>
  <c r="Z32" i="1"/>
  <c r="Z48" i="1"/>
  <c r="Z37" i="1"/>
  <c r="Z39" i="1"/>
  <c r="Z42" i="1"/>
  <c r="Z47" i="1"/>
  <c r="AA70" i="1"/>
  <c r="AA54" i="1"/>
  <c r="AA68" i="1"/>
  <c r="AA52" i="1"/>
  <c r="AA73" i="1"/>
  <c r="AA57" i="1"/>
  <c r="AA75" i="1"/>
  <c r="AA59" i="1"/>
  <c r="Z40" i="1"/>
  <c r="Z29" i="1"/>
  <c r="Z45" i="1"/>
  <c r="Z34" i="1"/>
  <c r="Z31" i="1"/>
  <c r="AA78" i="1"/>
  <c r="AA62" i="1"/>
  <c r="AA76" i="1"/>
  <c r="AA60" i="1"/>
  <c r="AA81" i="1"/>
  <c r="AA65" i="1"/>
  <c r="AA67" i="1"/>
  <c r="AA25" i="1"/>
  <c r="Z44" i="1"/>
  <c r="Z33" i="1"/>
  <c r="Z49" i="1"/>
  <c r="Z38" i="1"/>
  <c r="Z43" i="1"/>
  <c r="AA74" i="1"/>
  <c r="AA58" i="1"/>
  <c r="AA72" i="1"/>
  <c r="AA56" i="1"/>
  <c r="AC81" i="1"/>
  <c r="AA77" i="1"/>
  <c r="AA61" i="1"/>
  <c r="AA79" i="1"/>
  <c r="AA63" i="1"/>
  <c r="AB66" i="1"/>
  <c r="AB76" i="1"/>
  <c r="AB67" i="1"/>
  <c r="AC69" i="1"/>
  <c r="AB60" i="1"/>
  <c r="AB81" i="1"/>
  <c r="AB6" i="1"/>
  <c r="AB65" i="1"/>
  <c r="Z56" i="1"/>
  <c r="Z72" i="1"/>
  <c r="Z57" i="1"/>
  <c r="Z73" i="1"/>
  <c r="Z58" i="1"/>
  <c r="Z74" i="1"/>
  <c r="Z59" i="1"/>
  <c r="Z75" i="1"/>
  <c r="AA8" i="1"/>
  <c r="AA10" i="1"/>
  <c r="AA11" i="1"/>
  <c r="AA9" i="1"/>
  <c r="AB12" i="1"/>
  <c r="AB7" i="1"/>
  <c r="AA16" i="1"/>
  <c r="AA14" i="1"/>
  <c r="AA15" i="1"/>
  <c r="AA17" i="1"/>
  <c r="AB24" i="1"/>
  <c r="AB23" i="1"/>
  <c r="AA35" i="1"/>
  <c r="AC41" i="1"/>
  <c r="AC48" i="1"/>
  <c r="AC32" i="1"/>
  <c r="AC35" i="1"/>
  <c r="Z64" i="1"/>
  <c r="Z80" i="1"/>
  <c r="Z65" i="1"/>
  <c r="Z81" i="1"/>
  <c r="Z66" i="1"/>
  <c r="Z82" i="1"/>
  <c r="Z67" i="1"/>
  <c r="AB74" i="1"/>
  <c r="AB58" i="1"/>
  <c r="AB68" i="1"/>
  <c r="AB52" i="1"/>
  <c r="AB75" i="1"/>
  <c r="AB59" i="1"/>
  <c r="AB73" i="1"/>
  <c r="AB57" i="1"/>
  <c r="Z60" i="1"/>
  <c r="Z76" i="1"/>
  <c r="Z61" i="1"/>
  <c r="Z77" i="1"/>
  <c r="Z62" i="1"/>
  <c r="Z78" i="1"/>
  <c r="Z63" i="1"/>
  <c r="Z79" i="1"/>
  <c r="AB78" i="1"/>
  <c r="AB62" i="1"/>
  <c r="AB72" i="1"/>
  <c r="AB56" i="1"/>
  <c r="AB79" i="1"/>
  <c r="AB63" i="1"/>
  <c r="AB77" i="1"/>
  <c r="AB61" i="1"/>
  <c r="AA20" i="1"/>
  <c r="AA18" i="1"/>
  <c r="AA23" i="1"/>
  <c r="AA21" i="1"/>
  <c r="AB17" i="1"/>
  <c r="AC37" i="1"/>
  <c r="AC44" i="1"/>
  <c r="AC47" i="1"/>
  <c r="Z68" i="1"/>
  <c r="Z53" i="1"/>
  <c r="Z69" i="1"/>
  <c r="Z54" i="1"/>
  <c r="Z70" i="1"/>
  <c r="Z55" i="1"/>
  <c r="Z71" i="1"/>
  <c r="AB70" i="1"/>
  <c r="AB54" i="1"/>
  <c r="AB80" i="1"/>
  <c r="AB64" i="1"/>
  <c r="AB71" i="1"/>
  <c r="AB55" i="1"/>
  <c r="AB69" i="1"/>
  <c r="AB53" i="1"/>
  <c r="AC49" i="1"/>
  <c r="AC46" i="1"/>
  <c r="AC30" i="1"/>
  <c r="AC42" i="1"/>
  <c r="AC28" i="1"/>
  <c r="AC38" i="1"/>
  <c r="AC34" i="1"/>
  <c r="AA47" i="1"/>
  <c r="AA49" i="1"/>
  <c r="AA44" i="1"/>
  <c r="AA38" i="1"/>
  <c r="AA33" i="1"/>
  <c r="AA28" i="1"/>
  <c r="AA48" i="1"/>
  <c r="AA42" i="1"/>
  <c r="AA37" i="1"/>
  <c r="AA32" i="1"/>
  <c r="AA46" i="1"/>
  <c r="AA41" i="1"/>
  <c r="AA36" i="1"/>
  <c r="AA30" i="1"/>
  <c r="AA45" i="1"/>
  <c r="AA40" i="1"/>
  <c r="AA34" i="1"/>
  <c r="AA29" i="1"/>
  <c r="AB11" i="1"/>
  <c r="AB10" i="1"/>
  <c r="AA12" i="1"/>
  <c r="AA6" i="1"/>
  <c r="AA22" i="1"/>
  <c r="AA19" i="1"/>
  <c r="AA13" i="1"/>
  <c r="AB8" i="1"/>
  <c r="AB13" i="1"/>
  <c r="AB22" i="1"/>
  <c r="AB16" i="1"/>
  <c r="AB5" i="1"/>
  <c r="AB21" i="1"/>
  <c r="AB14" i="1"/>
  <c r="AB15" i="1"/>
  <c r="AB20" i="1"/>
  <c r="AB9" i="1"/>
  <c r="AB25" i="1"/>
  <c r="AB18" i="1"/>
  <c r="AB19" i="1"/>
  <c r="AC17" i="1"/>
  <c r="AC18" i="1"/>
  <c r="AC16" i="1"/>
  <c r="AC22" i="1"/>
  <c r="AC19" i="1"/>
  <c r="AC13" i="1"/>
  <c r="AC10" i="1"/>
  <c r="AC12" i="1"/>
  <c r="AC14" i="1"/>
  <c r="AC15" i="1"/>
  <c r="AC9" i="1"/>
  <c r="AC24" i="1"/>
  <c r="AC8" i="1"/>
  <c r="AC6" i="1"/>
  <c r="AC11" i="1"/>
  <c r="AC21" i="1"/>
  <c r="AC5" i="1"/>
  <c r="AC20" i="1"/>
  <c r="AC4" i="1"/>
  <c r="AC23" i="1"/>
  <c r="AC7" i="1"/>
</calcChain>
</file>

<file path=xl/sharedStrings.xml><?xml version="1.0" encoding="utf-8"?>
<sst xmlns="http://schemas.openxmlformats.org/spreadsheetml/2006/main" count="3" uniqueCount="3">
  <si>
    <t>x</t>
    <phoneticPr fontId="2"/>
  </si>
  <si>
    <t>P(x&lt;a)=e-la</t>
    <phoneticPr fontId="2"/>
  </si>
  <si>
    <t>Gauss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</si>
</sst>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">
    <xf numFmtId="0" fontId="0" fillId="0" borderId="0" xfId="0">
      <alignment vertical="center"/>
    </xf>
    <xf numFmtId="9" fontId="0" fillId="0" borderId="0" xfId="1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正規分布と</a:t>
            </a:r>
            <a:r>
              <a:rPr lang="en-US" altLang="ja-JP"/>
              <a:t>t</a:t>
            </a:r>
            <a:r>
              <a:rPr lang="en-US" altLang="ja-JP" baseline="0"/>
              <a:t> </a:t>
            </a:r>
            <a:r>
              <a:rPr lang="ja-JP" altLang="en-US" baseline="0"/>
              <a:t>分布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Sheet1!$G$4</c:f>
              <c:strCache>
                <c:ptCount val="1"/>
                <c:pt idx="0">
                  <c:v>Gauss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Sheet1!$G$5:$G$25</c:f>
              <c:numCache>
                <c:formatCode>General</c:formatCode>
                <c:ptCount val="21"/>
                <c:pt idx="0">
                  <c:v>1.4867195147342977E-6</c:v>
                </c:pt>
                <c:pt idx="1">
                  <c:v>1.5983741106905475E-5</c:v>
                </c:pt>
                <c:pt idx="2">
                  <c:v>1.3383022576488537E-4</c:v>
                </c:pt>
                <c:pt idx="3">
                  <c:v>8.7268269504576015E-4</c:v>
                </c:pt>
                <c:pt idx="4">
                  <c:v>4.4318484119380075E-3</c:v>
                </c:pt>
                <c:pt idx="5">
                  <c:v>1.752830049356854E-2</c:v>
                </c:pt>
                <c:pt idx="6">
                  <c:v>5.3990966513188063E-2</c:v>
                </c:pt>
                <c:pt idx="7">
                  <c:v>0.12951759566589174</c:v>
                </c:pt>
                <c:pt idx="8">
                  <c:v>0.24197072451914337</c:v>
                </c:pt>
                <c:pt idx="9">
                  <c:v>0.35206532676429952</c:v>
                </c:pt>
                <c:pt idx="10">
                  <c:v>0.3989422804014327</c:v>
                </c:pt>
                <c:pt idx="11">
                  <c:v>0.35206532676429952</c:v>
                </c:pt>
                <c:pt idx="12">
                  <c:v>0.24197072451914337</c:v>
                </c:pt>
                <c:pt idx="13">
                  <c:v>0.12951759566589174</c:v>
                </c:pt>
                <c:pt idx="14">
                  <c:v>5.3990966513188063E-2</c:v>
                </c:pt>
                <c:pt idx="15">
                  <c:v>1.752830049356854E-2</c:v>
                </c:pt>
                <c:pt idx="16">
                  <c:v>4.4318484119380075E-3</c:v>
                </c:pt>
                <c:pt idx="17">
                  <c:v>8.7268269504576015E-4</c:v>
                </c:pt>
                <c:pt idx="18">
                  <c:v>1.3383022576488537E-4</c:v>
                </c:pt>
                <c:pt idx="19">
                  <c:v>1.5983741106905475E-5</c:v>
                </c:pt>
                <c:pt idx="20">
                  <c:v>1.4867195147342977E-6</c:v>
                </c:pt>
              </c:numCache>
            </c:numRef>
          </c:val>
        </c:ser>
        <c:ser>
          <c:idx val="1"/>
          <c:order val="1"/>
          <c:tx>
            <c:strRef>
              <c:f>Sheet1!$H$4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Sheet1!$H$5:$H$25</c:f>
              <c:numCache>
                <c:formatCode>General</c:formatCode>
                <c:ptCount val="21"/>
                <c:pt idx="0">
                  <c:v>3.960010564637988E-4</c:v>
                </c:pt>
                <c:pt idx="1">
                  <c:v>8.8324462669310902E-4</c:v>
                </c:pt>
                <c:pt idx="2">
                  <c:v>2.0310339110412167E-3</c:v>
                </c:pt>
                <c:pt idx="3">
                  <c:v>4.7836071267013227E-3</c:v>
                </c:pt>
                <c:pt idx="4">
                  <c:v>1.1400549464542524E-2</c:v>
                </c:pt>
                <c:pt idx="5">
                  <c:v>2.6938727628244463E-2</c:v>
                </c:pt>
                <c:pt idx="6">
                  <c:v>6.1145766321218181E-2</c:v>
                </c:pt>
                <c:pt idx="7">
                  <c:v>0.12744479428709171</c:v>
                </c:pt>
                <c:pt idx="8">
                  <c:v>0.23036198922913867</c:v>
                </c:pt>
                <c:pt idx="9">
                  <c:v>0.33969513635207788</c:v>
                </c:pt>
                <c:pt idx="10">
                  <c:v>0.38910838396603115</c:v>
                </c:pt>
                <c:pt idx="11">
                  <c:v>0.33969513635207788</c:v>
                </c:pt>
                <c:pt idx="12">
                  <c:v>0.23036198922913867</c:v>
                </c:pt>
                <c:pt idx="13">
                  <c:v>0.12744479428709171</c:v>
                </c:pt>
                <c:pt idx="14">
                  <c:v>6.1145766321218181E-2</c:v>
                </c:pt>
                <c:pt idx="15">
                  <c:v>2.6938727628244463E-2</c:v>
                </c:pt>
                <c:pt idx="16">
                  <c:v>1.1400549464542524E-2</c:v>
                </c:pt>
                <c:pt idx="17">
                  <c:v>4.7836071267013227E-3</c:v>
                </c:pt>
                <c:pt idx="18">
                  <c:v>2.0310339110412167E-3</c:v>
                </c:pt>
                <c:pt idx="19">
                  <c:v>8.8324462669310902E-4</c:v>
                </c:pt>
                <c:pt idx="20">
                  <c:v>3.960010564637988E-4</c:v>
                </c:pt>
              </c:numCache>
            </c:numRef>
          </c:val>
        </c:ser>
        <c:ser>
          <c:idx val="2"/>
          <c:order val="2"/>
          <c:tx>
            <c:strRef>
              <c:f>Sheet1!$I$4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Sheet1!$I$5:$I$25</c:f>
              <c:numCache>
                <c:formatCode>General</c:formatCode>
                <c:ptCount val="21"/>
                <c:pt idx="0">
                  <c:v>3.2888902052922403E-5</c:v>
                </c:pt>
                <c:pt idx="1">
                  <c:v>1.3337119368780277E-4</c:v>
                </c:pt>
                <c:pt idx="2">
                  <c:v>5.2471644019740798E-4</c:v>
                </c:pt>
                <c:pt idx="3">
                  <c:v>1.9604555808020938E-3</c:v>
                </c:pt>
                <c:pt idx="4">
                  <c:v>6.7790627460931003E-3</c:v>
                </c:pt>
                <c:pt idx="5">
                  <c:v>2.1057019220621639E-2</c:v>
                </c:pt>
                <c:pt idx="6">
                  <c:v>5.6852275047197962E-2</c:v>
                </c:pt>
                <c:pt idx="7">
                  <c:v>0.12896160173967178</c:v>
                </c:pt>
                <c:pt idx="8">
                  <c:v>0.23799334232287983</c:v>
                </c:pt>
                <c:pt idx="9">
                  <c:v>0.34787857969720454</c:v>
                </c:pt>
                <c:pt idx="10">
                  <c:v>0.39563218489409779</c:v>
                </c:pt>
                <c:pt idx="11">
                  <c:v>0.34787857969720454</c:v>
                </c:pt>
                <c:pt idx="12">
                  <c:v>0.23799334232287983</c:v>
                </c:pt>
                <c:pt idx="13">
                  <c:v>0.12896160173967178</c:v>
                </c:pt>
                <c:pt idx="14">
                  <c:v>5.6852275047197962E-2</c:v>
                </c:pt>
                <c:pt idx="15">
                  <c:v>2.1057019220621639E-2</c:v>
                </c:pt>
                <c:pt idx="16">
                  <c:v>6.7790627460931003E-3</c:v>
                </c:pt>
                <c:pt idx="17">
                  <c:v>1.9604555808020938E-3</c:v>
                </c:pt>
                <c:pt idx="18">
                  <c:v>5.2471644019740798E-4</c:v>
                </c:pt>
                <c:pt idx="19">
                  <c:v>1.3337119368780277E-4</c:v>
                </c:pt>
                <c:pt idx="20">
                  <c:v>3.2888902052922403E-5</c:v>
                </c:pt>
              </c:numCache>
            </c:numRef>
          </c:val>
        </c:ser>
        <c:ser>
          <c:idx val="3"/>
          <c:order val="3"/>
          <c:tx>
            <c:strRef>
              <c:f>Sheet1!$J$4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Sheet1!$J$5:$J$25</c:f>
              <c:numCache>
                <c:formatCode>General</c:formatCode>
                <c:ptCount val="21"/>
                <c:pt idx="0">
                  <c:v>1.2835465750193539E-5</c:v>
                </c:pt>
                <c:pt idx="1">
                  <c:v>6.8075755523533101E-5</c:v>
                </c:pt>
                <c:pt idx="2">
                  <c:v>3.3427468818049395E-4</c:v>
                </c:pt>
                <c:pt idx="3">
                  <c:v>1.4856628942363083E-3</c:v>
                </c:pt>
                <c:pt idx="4">
                  <c:v>5.8310605583565224E-3</c:v>
                </c:pt>
                <c:pt idx="5">
                  <c:v>1.9694702081706587E-2</c:v>
                </c:pt>
                <c:pt idx="6">
                  <c:v>5.5774151649800992E-2</c:v>
                </c:pt>
                <c:pt idx="7">
                  <c:v>0.12920321834422047</c:v>
                </c:pt>
                <c:pt idx="8">
                  <c:v>0.2395710620586905</c:v>
                </c:pt>
                <c:pt idx="9">
                  <c:v>0.34954586046517899</c:v>
                </c:pt>
                <c:pt idx="10">
                  <c:v>0.3969526797311142</c:v>
                </c:pt>
                <c:pt idx="11">
                  <c:v>0.34954586046517899</c:v>
                </c:pt>
                <c:pt idx="12">
                  <c:v>0.2395710620586905</c:v>
                </c:pt>
                <c:pt idx="13">
                  <c:v>0.12920321834422047</c:v>
                </c:pt>
                <c:pt idx="14">
                  <c:v>5.5774151649800992E-2</c:v>
                </c:pt>
                <c:pt idx="15">
                  <c:v>1.9694702081706587E-2</c:v>
                </c:pt>
                <c:pt idx="16">
                  <c:v>5.8310605583565224E-3</c:v>
                </c:pt>
                <c:pt idx="17">
                  <c:v>1.4856628942363083E-3</c:v>
                </c:pt>
                <c:pt idx="18">
                  <c:v>3.3427468818049395E-4</c:v>
                </c:pt>
                <c:pt idx="19">
                  <c:v>6.8075755523533101E-5</c:v>
                </c:pt>
                <c:pt idx="20">
                  <c:v>1.2835465750193539E-5</c:v>
                </c:pt>
              </c:numCache>
            </c:numRef>
          </c:val>
        </c:ser>
        <c:ser>
          <c:idx val="4"/>
          <c:order val="4"/>
          <c:tx>
            <c:strRef>
              <c:f>Sheet1!$K$4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Sheet1!$K$5:$K$25</c:f>
              <c:numCache>
                <c:formatCode>General</c:formatCode>
                <c:ptCount val="21"/>
                <c:pt idx="0">
                  <c:v>5.0800582347272843E-6</c:v>
                </c:pt>
                <c:pt idx="1">
                  <c:v>3.5935819475144766E-5</c:v>
                </c:pt>
                <c:pt idx="2">
                  <c:v>2.2115455654062892E-4</c:v>
                </c:pt>
                <c:pt idx="3">
                  <c:v>1.1625554838789979E-3</c:v>
                </c:pt>
                <c:pt idx="4">
                  <c:v>5.1260897023202509E-3</c:v>
                </c:pt>
                <c:pt idx="5">
                  <c:v>1.8630003746412823E-2</c:v>
                </c:pt>
                <c:pt idx="6">
                  <c:v>5.490864329540969E-2</c:v>
                </c:pt>
                <c:pt idx="7">
                  <c:v>0.12936799740683039</c:v>
                </c:pt>
                <c:pt idx="8">
                  <c:v>0.240765896928546</c:v>
                </c:pt>
                <c:pt idx="9">
                  <c:v>0.35080283339233032</c:v>
                </c:pt>
                <c:pt idx="10">
                  <c:v>0.39794618693589384</c:v>
                </c:pt>
                <c:pt idx="11">
                  <c:v>0.35080283339233032</c:v>
                </c:pt>
                <c:pt idx="12">
                  <c:v>0.240765896928546</c:v>
                </c:pt>
                <c:pt idx="13">
                  <c:v>0.12936799740683039</c:v>
                </c:pt>
                <c:pt idx="14">
                  <c:v>5.490864329540969E-2</c:v>
                </c:pt>
                <c:pt idx="15">
                  <c:v>1.8630003746412823E-2</c:v>
                </c:pt>
                <c:pt idx="16">
                  <c:v>5.1260897023202509E-3</c:v>
                </c:pt>
                <c:pt idx="17">
                  <c:v>1.1625554838789979E-3</c:v>
                </c:pt>
                <c:pt idx="18">
                  <c:v>2.2115455654062892E-4</c:v>
                </c:pt>
                <c:pt idx="19">
                  <c:v>3.5935819475144766E-5</c:v>
                </c:pt>
                <c:pt idx="20">
                  <c:v>5.0800582347272843E-6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070856"/>
        <c:axId val="147074384"/>
      </c:barChart>
      <c:catAx>
        <c:axId val="14707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7074384"/>
        <c:crosses val="autoZero"/>
        <c:auto val="1"/>
        <c:lblAlgn val="ctr"/>
        <c:lblOffset val="100"/>
        <c:noMultiLvlLbl val="0"/>
      </c:catAx>
      <c:valAx>
        <c:axId val="1470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707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指数分布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Sheet1!$Z$3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Sheet1!$Y$4:$Y$24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Sheet1!$Z$4:$Z$24</c:f>
              <c:numCache>
                <c:formatCode>General</c:formatCode>
                <c:ptCount val="21"/>
                <c:pt idx="0">
                  <c:v>8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Sheet1!$AA$3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Sheet1!$Y$4:$Y$24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Sheet1!$AA$4:$AA$24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Sheet1!$AB$3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Sheet1!$Y$4:$Y$24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Sheet1!$AB$4:$AB$24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4</c:v>
                </c:pt>
                <c:pt idx="12">
                  <c:v>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Sheet1!$AC$3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Sheet1!$Y$4:$Y$24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Sheet1!$AC$4:$AC$24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</c:v>
                </c:pt>
                <c:pt idx="11">
                  <c:v>6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593824"/>
        <c:axId val="148595784"/>
      </c:barChart>
      <c:catAx>
        <c:axId val="14859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595784"/>
        <c:crosses val="autoZero"/>
        <c:auto val="1"/>
        <c:lblAlgn val="ctr"/>
        <c:lblOffset val="100"/>
        <c:noMultiLvlLbl val="0"/>
      </c:catAx>
      <c:valAx>
        <c:axId val="14859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59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対数正規分布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Sheet1!$Z$27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Sheet1!$Y$28:$Y$48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Sheet1!$Z$28:$Z$48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</c:ser>
        <c:ser>
          <c:idx val="1"/>
          <c:order val="1"/>
          <c:tx>
            <c:strRef>
              <c:f>Sheet1!$AA$27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Sheet1!$Y$28:$Y$48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Sheet1!$AA$28:$AA$48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Sheet1!$AB$27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Sheet1!$Y$28:$Y$48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Sheet1!$AB$28:$AB$48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12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Sheet1!$AC$27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Sheet1!$Y$28:$Y$48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Sheet1!$AC$28:$AC$48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16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591472"/>
        <c:axId val="148596960"/>
      </c:barChart>
      <c:catAx>
        <c:axId val="14859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596960"/>
        <c:crosses val="autoZero"/>
        <c:auto val="1"/>
        <c:lblAlgn val="ctr"/>
        <c:lblOffset val="100"/>
        <c:noMultiLvlLbl val="0"/>
      </c:catAx>
      <c:valAx>
        <c:axId val="1485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59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Call</a:t>
            </a:r>
            <a:r>
              <a:rPr lang="en-US" altLang="ja-JP" baseline="0"/>
              <a:t> Option Price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Sheet1!$Z$3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Sheet1!$Y$52:$Y$75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</c:numCache>
            </c:numRef>
          </c:cat>
          <c:val>
            <c:numRef>
              <c:f>Sheet1!$Z$52:$Z$75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Sheet1!$AA$3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Sheet1!$Y$52:$Y$75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</c:numCache>
            </c:numRef>
          </c:cat>
          <c:val>
            <c:numRef>
              <c:f>Sheet1!$AA$52:$AA$75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Sheet1!$AB$3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Sheet1!$Y$52:$Y$75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</c:numCache>
            </c:numRef>
          </c:cat>
          <c:val>
            <c:numRef>
              <c:f>Sheet1!$AB$52:$AB$75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Sheet1!$AC$3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Sheet1!$Y$52:$Y$75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</c:numCache>
            </c:numRef>
          </c:cat>
          <c:val>
            <c:numRef>
              <c:f>Sheet1!$AC$52:$AC$75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14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432032"/>
        <c:axId val="212438304"/>
      </c:barChart>
      <c:catAx>
        <c:axId val="21243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438304"/>
        <c:crosses val="autoZero"/>
        <c:auto val="1"/>
        <c:lblAlgn val="ctr"/>
        <c:lblOffset val="100"/>
        <c:noMultiLvlLbl val="0"/>
      </c:catAx>
      <c:valAx>
        <c:axId val="21243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43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</xdr:row>
      <xdr:rowOff>114300</xdr:rowOff>
    </xdr:from>
    <xdr:to>
      <xdr:col>18</xdr:col>
      <xdr:colOff>466725</xdr:colOff>
      <xdr:row>18</xdr:row>
      <xdr:rowOff>114300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219075</xdr:colOff>
      <xdr:row>6</xdr:row>
      <xdr:rowOff>66675</xdr:rowOff>
    </xdr:from>
    <xdr:to>
      <xdr:col>28</xdr:col>
      <xdr:colOff>676275</xdr:colOff>
      <xdr:row>22</xdr:row>
      <xdr:rowOff>66675</xdr:rowOff>
    </xdr:to>
    <xdr:graphicFrame macro="">
      <xdr:nvGraphicFramePr>
        <xdr:cNvPr id="12" name="グラフ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28575</xdr:colOff>
      <xdr:row>28</xdr:row>
      <xdr:rowOff>123825</xdr:rowOff>
    </xdr:from>
    <xdr:to>
      <xdr:col>29</xdr:col>
      <xdr:colOff>485775</xdr:colOff>
      <xdr:row>44</xdr:row>
      <xdr:rowOff>123825</xdr:rowOff>
    </xdr:to>
    <xdr:graphicFrame macro="">
      <xdr:nvGraphicFramePr>
        <xdr:cNvPr id="13" name="グラフ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28575</xdr:colOff>
      <xdr:row>53</xdr:row>
      <xdr:rowOff>161925</xdr:rowOff>
    </xdr:from>
    <xdr:to>
      <xdr:col>30</xdr:col>
      <xdr:colOff>485775</xdr:colOff>
      <xdr:row>69</xdr:row>
      <xdr:rowOff>161925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C82"/>
  <sheetViews>
    <sheetView tabSelected="1" topLeftCell="R46" workbookViewId="0">
      <selection activeCell="V41" sqref="V41"/>
    </sheetView>
  </sheetViews>
  <sheetFormatPr defaultRowHeight="13.5" x14ac:dyDescent="0.15"/>
  <cols>
    <col min="7" max="8" width="12.75" bestFit="1" customWidth="1"/>
  </cols>
  <sheetData>
    <row r="3" spans="2:29" x14ac:dyDescent="0.15">
      <c r="T3">
        <v>10</v>
      </c>
      <c r="U3">
        <v>100</v>
      </c>
      <c r="V3">
        <v>1000</v>
      </c>
      <c r="W3">
        <v>5000</v>
      </c>
      <c r="Z3">
        <v>10</v>
      </c>
      <c r="AA3">
        <v>100</v>
      </c>
      <c r="AB3">
        <v>1000</v>
      </c>
      <c r="AC3">
        <v>5000</v>
      </c>
    </row>
    <row r="4" spans="2:29" x14ac:dyDescent="0.15">
      <c r="B4" t="s">
        <v>0</v>
      </c>
      <c r="C4" t="s">
        <v>1</v>
      </c>
      <c r="G4" t="s">
        <v>2</v>
      </c>
      <c r="H4">
        <v>10</v>
      </c>
      <c r="I4">
        <v>30</v>
      </c>
      <c r="J4">
        <v>50</v>
      </c>
      <c r="K4">
        <v>100</v>
      </c>
      <c r="T4">
        <f>MeanOfExp(T$3,2)</f>
        <v>0.41415382318943372</v>
      </c>
      <c r="U4">
        <f t="shared" ref="U4:W4" si="0">MeanOfExp(U$3,2)</f>
        <v>0.45422953924962423</v>
      </c>
      <c r="V4">
        <f t="shared" si="0"/>
        <v>0.48866654683057209</v>
      </c>
      <c r="W4">
        <f t="shared" si="0"/>
        <v>0.49625664237093514</v>
      </c>
      <c r="Y4">
        <v>0.4</v>
      </c>
      <c r="Z4">
        <f t="array" ref="Z4:Z25">FREQUENCY(T4:T24,$Y$4:$Y$24)</f>
        <v>8</v>
      </c>
      <c r="AA4">
        <f t="array" ref="AA4:AA25">FREQUENCY(U4:U24,$Y$4:$Y$24)</f>
        <v>1</v>
      </c>
      <c r="AB4">
        <f t="array" ref="AB4:AB25">FREQUENCY(V4:V24,$Y$4:$Y$24)</f>
        <v>0</v>
      </c>
      <c r="AC4">
        <f t="array" ref="AC4:AC25">FREQUENCY(W4:W24,$Y$4:$Y$24)</f>
        <v>0</v>
      </c>
    </row>
    <row r="5" spans="2:29" x14ac:dyDescent="0.15">
      <c r="F5">
        <v>-5</v>
      </c>
      <c r="G5">
        <f t="shared" ref="G5:G25" si="1">_xlfn.NORM.DIST(F5,0,1,FALSE)</f>
        <v>1.4867195147342977E-6</v>
      </c>
      <c r="H5">
        <f>_xlfn.T.DIST($F5,H$4,FALSE)</f>
        <v>3.960010564637988E-4</v>
      </c>
      <c r="I5">
        <f t="shared" ref="I5:K25" si="2">_xlfn.T.DIST($F5,I$4,FALSE)</f>
        <v>3.2888902052922403E-5</v>
      </c>
      <c r="J5">
        <f t="shared" si="2"/>
        <v>1.2835465750193539E-5</v>
      </c>
      <c r="K5">
        <f t="shared" si="2"/>
        <v>5.0800582347272843E-6</v>
      </c>
      <c r="T5">
        <f t="shared" ref="T5:W24" si="3">MeanOfExp(T$3,2)</f>
        <v>0.28909462072775355</v>
      </c>
      <c r="U5">
        <f t="shared" si="3"/>
        <v>0.53797225494332757</v>
      </c>
      <c r="V5">
        <f t="shared" si="3"/>
        <v>0.48664598788944119</v>
      </c>
      <c r="W5">
        <f t="shared" si="3"/>
        <v>0.50813496976912231</v>
      </c>
      <c r="Y5">
        <v>0.41</v>
      </c>
      <c r="Z5">
        <v>0</v>
      </c>
      <c r="AA5">
        <v>1</v>
      </c>
      <c r="AB5">
        <v>0</v>
      </c>
      <c r="AC5">
        <v>0</v>
      </c>
    </row>
    <row r="6" spans="2:29" x14ac:dyDescent="0.15">
      <c r="B6">
        <f ca="1">RAND()</f>
        <v>0.44904695447095855</v>
      </c>
      <c r="C6" s="1">
        <f>RandExpDist(0.1)</f>
        <v>17.328257382629133</v>
      </c>
      <c r="F6">
        <v>-4.5</v>
      </c>
      <c r="G6">
        <f t="shared" si="1"/>
        <v>1.5983741106905475E-5</v>
      </c>
      <c r="H6">
        <f t="shared" ref="H6:H25" si="4">_xlfn.T.DIST($F6,H$4,FALSE)</f>
        <v>8.8324462669310902E-4</v>
      </c>
      <c r="I6">
        <f t="shared" si="2"/>
        <v>1.3337119368780277E-4</v>
      </c>
      <c r="J6">
        <f t="shared" si="2"/>
        <v>6.8075755523533101E-5</v>
      </c>
      <c r="K6">
        <f t="shared" si="2"/>
        <v>3.5935819475144766E-5</v>
      </c>
      <c r="T6">
        <f t="shared" si="3"/>
        <v>0.71087086916021214</v>
      </c>
      <c r="U6">
        <f t="shared" si="3"/>
        <v>0.47790806169260169</v>
      </c>
      <c r="V6">
        <f t="shared" si="3"/>
        <v>0.49641984197546724</v>
      </c>
      <c r="W6">
        <f t="shared" si="3"/>
        <v>0.49847352580059184</v>
      </c>
      <c r="Y6">
        <v>0.42</v>
      </c>
      <c r="Z6">
        <v>1</v>
      </c>
      <c r="AA6">
        <v>1</v>
      </c>
      <c r="AB6">
        <v>0</v>
      </c>
      <c r="AC6">
        <v>0</v>
      </c>
    </row>
    <row r="7" spans="2:29" x14ac:dyDescent="0.15">
      <c r="F7">
        <v>-4</v>
      </c>
      <c r="G7">
        <f t="shared" si="1"/>
        <v>1.3383022576488537E-4</v>
      </c>
      <c r="H7">
        <f t="shared" si="4"/>
        <v>2.0310339110412167E-3</v>
      </c>
      <c r="I7">
        <f t="shared" si="2"/>
        <v>5.2471644019740798E-4</v>
      </c>
      <c r="J7">
        <f t="shared" si="2"/>
        <v>3.3427468818049395E-4</v>
      </c>
      <c r="K7">
        <f t="shared" si="2"/>
        <v>2.2115455654062892E-4</v>
      </c>
      <c r="T7">
        <f t="shared" si="3"/>
        <v>0.34698907113227823</v>
      </c>
      <c r="U7">
        <f t="shared" si="3"/>
        <v>0.52712073521331593</v>
      </c>
      <c r="V7">
        <f t="shared" si="3"/>
        <v>0.4842731597240138</v>
      </c>
      <c r="W7">
        <f t="shared" si="3"/>
        <v>0.49357894632757232</v>
      </c>
      <c r="Y7">
        <v>0.43</v>
      </c>
      <c r="Z7">
        <v>0</v>
      </c>
      <c r="AA7">
        <v>1</v>
      </c>
      <c r="AB7">
        <v>0</v>
      </c>
      <c r="AC7">
        <v>0</v>
      </c>
    </row>
    <row r="8" spans="2:29" x14ac:dyDescent="0.15">
      <c r="F8">
        <v>-3.5</v>
      </c>
      <c r="G8">
        <f t="shared" si="1"/>
        <v>8.7268269504576015E-4</v>
      </c>
      <c r="H8">
        <f t="shared" si="4"/>
        <v>4.7836071267013227E-3</v>
      </c>
      <c r="I8">
        <f t="shared" si="2"/>
        <v>1.9604555808020938E-3</v>
      </c>
      <c r="J8">
        <f t="shared" si="2"/>
        <v>1.4856628942363083E-3</v>
      </c>
      <c r="K8">
        <f t="shared" si="2"/>
        <v>1.1625554838789979E-3</v>
      </c>
      <c r="T8">
        <f t="shared" si="3"/>
        <v>0.64314764604689467</v>
      </c>
      <c r="U8">
        <f t="shared" si="3"/>
        <v>0.53073491046601595</v>
      </c>
      <c r="V8">
        <f t="shared" si="3"/>
        <v>0.51564727248227726</v>
      </c>
      <c r="W8">
        <f t="shared" si="3"/>
        <v>0.49555213433729733</v>
      </c>
      <c r="Y8">
        <v>0.44</v>
      </c>
      <c r="Z8">
        <v>0</v>
      </c>
      <c r="AA8">
        <v>1</v>
      </c>
      <c r="AB8">
        <v>0</v>
      </c>
      <c r="AC8">
        <v>0</v>
      </c>
    </row>
    <row r="9" spans="2:29" x14ac:dyDescent="0.15">
      <c r="F9">
        <v>-3</v>
      </c>
      <c r="G9">
        <f t="shared" si="1"/>
        <v>4.4318484119380075E-3</v>
      </c>
      <c r="H9">
        <f t="shared" si="4"/>
        <v>1.1400549464542524E-2</v>
      </c>
      <c r="I9">
        <f t="shared" si="2"/>
        <v>6.7790627460931003E-3</v>
      </c>
      <c r="J9">
        <f t="shared" si="2"/>
        <v>5.8310605583565224E-3</v>
      </c>
      <c r="K9">
        <f t="shared" si="2"/>
        <v>5.1260897023202509E-3</v>
      </c>
      <c r="T9">
        <f t="shared" si="3"/>
        <v>0.28423926485676426</v>
      </c>
      <c r="U9">
        <f t="shared" si="3"/>
        <v>0.49417705914729221</v>
      </c>
      <c r="V9">
        <f t="shared" si="3"/>
        <v>0.51300464365648568</v>
      </c>
      <c r="W9">
        <f t="shared" si="3"/>
        <v>0.49229293204919505</v>
      </c>
      <c r="Y9">
        <v>0.45</v>
      </c>
      <c r="Z9">
        <v>0</v>
      </c>
      <c r="AA9">
        <v>0</v>
      </c>
      <c r="AB9">
        <v>0</v>
      </c>
      <c r="AC9">
        <v>0</v>
      </c>
    </row>
    <row r="10" spans="2:29" x14ac:dyDescent="0.15">
      <c r="F10">
        <v>-2.5</v>
      </c>
      <c r="G10">
        <f t="shared" si="1"/>
        <v>1.752830049356854E-2</v>
      </c>
      <c r="H10">
        <f t="shared" si="4"/>
        <v>2.6938727628244463E-2</v>
      </c>
      <c r="I10">
        <f t="shared" si="2"/>
        <v>2.1057019220621639E-2</v>
      </c>
      <c r="J10">
        <f t="shared" si="2"/>
        <v>1.9694702081706587E-2</v>
      </c>
      <c r="K10">
        <f t="shared" si="2"/>
        <v>1.8630003746412823E-2</v>
      </c>
      <c r="T10">
        <f t="shared" si="3"/>
        <v>0.53919407607453185</v>
      </c>
      <c r="U10">
        <f t="shared" si="3"/>
        <v>0.49993920495861843</v>
      </c>
      <c r="V10">
        <f t="shared" si="3"/>
        <v>0.47348764776813146</v>
      </c>
      <c r="W10">
        <f t="shared" si="3"/>
        <v>0.50920973345084652</v>
      </c>
      <c r="Y10">
        <v>0.46</v>
      </c>
      <c r="Z10">
        <v>1</v>
      </c>
      <c r="AA10">
        <v>1</v>
      </c>
      <c r="AB10">
        <v>0</v>
      </c>
      <c r="AC10">
        <v>0</v>
      </c>
    </row>
    <row r="11" spans="2:29" x14ac:dyDescent="0.15">
      <c r="F11">
        <v>-2</v>
      </c>
      <c r="G11">
        <f t="shared" si="1"/>
        <v>5.3990966513188063E-2</v>
      </c>
      <c r="H11">
        <f t="shared" si="4"/>
        <v>6.1145766321218181E-2</v>
      </c>
      <c r="I11">
        <f t="shared" si="2"/>
        <v>5.6852275047197962E-2</v>
      </c>
      <c r="J11">
        <f t="shared" si="2"/>
        <v>5.5774151649800992E-2</v>
      </c>
      <c r="K11">
        <f t="shared" si="2"/>
        <v>5.490864329540969E-2</v>
      </c>
      <c r="T11">
        <f t="shared" si="3"/>
        <v>0.53942839315490942</v>
      </c>
      <c r="U11">
        <f t="shared" si="3"/>
        <v>0.49729002919631221</v>
      </c>
      <c r="V11">
        <f t="shared" si="3"/>
        <v>0.49528606631500255</v>
      </c>
      <c r="W11">
        <f t="shared" si="3"/>
        <v>0.49863711530643751</v>
      </c>
      <c r="Y11">
        <v>0.47</v>
      </c>
      <c r="Z11">
        <v>0</v>
      </c>
      <c r="AA11">
        <v>0</v>
      </c>
      <c r="AB11">
        <v>0</v>
      </c>
      <c r="AC11">
        <v>0</v>
      </c>
    </row>
    <row r="12" spans="2:29" x14ac:dyDescent="0.15">
      <c r="F12">
        <v>-1.5</v>
      </c>
      <c r="G12">
        <f t="shared" si="1"/>
        <v>0.12951759566589174</v>
      </c>
      <c r="H12">
        <f t="shared" si="4"/>
        <v>0.12744479428709171</v>
      </c>
      <c r="I12">
        <f t="shared" si="2"/>
        <v>0.12896160173967178</v>
      </c>
      <c r="J12">
        <f t="shared" si="2"/>
        <v>0.12920321834422047</v>
      </c>
      <c r="K12">
        <f t="shared" si="2"/>
        <v>0.12936799740683039</v>
      </c>
      <c r="T12">
        <f t="shared" si="3"/>
        <v>0.72344951156336035</v>
      </c>
      <c r="U12">
        <f t="shared" si="3"/>
        <v>0.48949646613345488</v>
      </c>
      <c r="V12">
        <f t="shared" si="3"/>
        <v>0.49090681858284629</v>
      </c>
      <c r="W12">
        <f t="shared" si="3"/>
        <v>0.49427873295799346</v>
      </c>
      <c r="Y12">
        <v>0.48</v>
      </c>
      <c r="Z12">
        <v>0</v>
      </c>
      <c r="AA12">
        <v>1</v>
      </c>
      <c r="AB12">
        <v>1</v>
      </c>
      <c r="AC12">
        <v>0</v>
      </c>
    </row>
    <row r="13" spans="2:29" x14ac:dyDescent="0.15">
      <c r="F13">
        <v>-1</v>
      </c>
      <c r="G13">
        <f t="shared" si="1"/>
        <v>0.24197072451914337</v>
      </c>
      <c r="H13">
        <f t="shared" si="4"/>
        <v>0.23036198922913867</v>
      </c>
      <c r="I13">
        <f t="shared" si="2"/>
        <v>0.23799334232287983</v>
      </c>
      <c r="J13">
        <f t="shared" si="2"/>
        <v>0.2395710620586905</v>
      </c>
      <c r="K13">
        <f t="shared" si="2"/>
        <v>0.240765896928546</v>
      </c>
      <c r="T13">
        <f t="shared" si="3"/>
        <v>0.3465383889369465</v>
      </c>
      <c r="U13">
        <f t="shared" si="3"/>
        <v>0.54852840217581755</v>
      </c>
      <c r="V13">
        <f t="shared" si="3"/>
        <v>0.51831607210940578</v>
      </c>
      <c r="W13">
        <f t="shared" si="3"/>
        <v>0.5175452306163667</v>
      </c>
      <c r="Y13">
        <v>0.49</v>
      </c>
      <c r="Z13">
        <v>2</v>
      </c>
      <c r="AA13">
        <v>2</v>
      </c>
      <c r="AB13">
        <v>3</v>
      </c>
      <c r="AC13">
        <v>0</v>
      </c>
    </row>
    <row r="14" spans="2:29" x14ac:dyDescent="0.15">
      <c r="F14">
        <v>-0.5</v>
      </c>
      <c r="G14">
        <f t="shared" si="1"/>
        <v>0.35206532676429952</v>
      </c>
      <c r="H14">
        <f t="shared" si="4"/>
        <v>0.33969513635207788</v>
      </c>
      <c r="I14">
        <f t="shared" si="2"/>
        <v>0.34787857969720454</v>
      </c>
      <c r="J14">
        <f t="shared" si="2"/>
        <v>0.34954586046517899</v>
      </c>
      <c r="K14">
        <f t="shared" si="2"/>
        <v>0.35080283339233032</v>
      </c>
      <c r="T14">
        <f t="shared" si="3"/>
        <v>0.45143249274932912</v>
      </c>
      <c r="U14">
        <f t="shared" si="3"/>
        <v>0.4830335699210998</v>
      </c>
      <c r="V14">
        <f t="shared" si="3"/>
        <v>0.51946707355003074</v>
      </c>
      <c r="W14">
        <f t="shared" si="3"/>
        <v>0.49812665453708788</v>
      </c>
      <c r="Y14">
        <v>0.5</v>
      </c>
      <c r="Z14">
        <v>0</v>
      </c>
      <c r="AA14">
        <v>3</v>
      </c>
      <c r="AB14">
        <v>6</v>
      </c>
      <c r="AC14">
        <v>14</v>
      </c>
    </row>
    <row r="15" spans="2:29" x14ac:dyDescent="0.15">
      <c r="F15">
        <v>0</v>
      </c>
      <c r="G15">
        <f t="shared" si="1"/>
        <v>0.3989422804014327</v>
      </c>
      <c r="H15">
        <f t="shared" si="4"/>
        <v>0.38910838396603115</v>
      </c>
      <c r="I15">
        <f t="shared" si="2"/>
        <v>0.39563218489409779</v>
      </c>
      <c r="J15">
        <f t="shared" si="2"/>
        <v>0.3969526797311142</v>
      </c>
      <c r="K15">
        <f t="shared" si="2"/>
        <v>0.39794618693589384</v>
      </c>
      <c r="T15">
        <f t="shared" si="3"/>
        <v>0.54613816589530573</v>
      </c>
      <c r="U15">
        <f t="shared" si="3"/>
        <v>0.40150726454154456</v>
      </c>
      <c r="V15">
        <f t="shared" si="3"/>
        <v>0.5171732157211234</v>
      </c>
      <c r="W15">
        <f t="shared" si="3"/>
        <v>0.49914913168338237</v>
      </c>
      <c r="Y15">
        <v>0.50999999999999901</v>
      </c>
      <c r="Z15">
        <v>1</v>
      </c>
      <c r="AA15">
        <v>0</v>
      </c>
      <c r="AB15">
        <v>4</v>
      </c>
      <c r="AC15">
        <v>6</v>
      </c>
    </row>
    <row r="16" spans="2:29" x14ac:dyDescent="0.15">
      <c r="F16">
        <v>0.5</v>
      </c>
      <c r="G16">
        <f t="shared" si="1"/>
        <v>0.35206532676429952</v>
      </c>
      <c r="H16">
        <f t="shared" si="4"/>
        <v>0.33969513635207788</v>
      </c>
      <c r="I16">
        <f t="shared" si="2"/>
        <v>0.34787857969720454</v>
      </c>
      <c r="J16">
        <f t="shared" si="2"/>
        <v>0.34954586046517899</v>
      </c>
      <c r="K16">
        <f t="shared" si="2"/>
        <v>0.35080283339233032</v>
      </c>
      <c r="T16">
        <f t="shared" si="3"/>
        <v>0.39687261392621676</v>
      </c>
      <c r="U16">
        <f t="shared" si="3"/>
        <v>0.60358340774446984</v>
      </c>
      <c r="V16">
        <f t="shared" si="3"/>
        <v>0.49300920152905447</v>
      </c>
      <c r="W16">
        <f t="shared" si="3"/>
        <v>0.49405727115406617</v>
      </c>
      <c r="Y16">
        <v>0.51999999999999902</v>
      </c>
      <c r="Z16">
        <v>0</v>
      </c>
      <c r="AA16">
        <v>0</v>
      </c>
      <c r="AB16">
        <v>7</v>
      </c>
      <c r="AC16">
        <v>1</v>
      </c>
    </row>
    <row r="17" spans="6:29" x14ac:dyDescent="0.15">
      <c r="F17">
        <v>1</v>
      </c>
      <c r="G17">
        <f t="shared" si="1"/>
        <v>0.24197072451914337</v>
      </c>
      <c r="H17">
        <f t="shared" si="4"/>
        <v>0.23036198922913867</v>
      </c>
      <c r="I17">
        <f t="shared" si="2"/>
        <v>0.23799334232287983</v>
      </c>
      <c r="J17">
        <f t="shared" si="2"/>
        <v>0.2395710620586905</v>
      </c>
      <c r="K17">
        <f t="shared" si="2"/>
        <v>0.240765896928546</v>
      </c>
      <c r="T17">
        <f t="shared" si="3"/>
        <v>0.1937584473379087</v>
      </c>
      <c r="U17">
        <f t="shared" si="3"/>
        <v>0.41189639298272007</v>
      </c>
      <c r="V17">
        <f t="shared" si="3"/>
        <v>0.49833650447401001</v>
      </c>
      <c r="W17">
        <f t="shared" si="3"/>
        <v>0.5019446565753678</v>
      </c>
      <c r="Y17">
        <v>0.52999999999999903</v>
      </c>
      <c r="Z17">
        <v>0</v>
      </c>
      <c r="AA17">
        <v>4</v>
      </c>
      <c r="AB17">
        <v>0</v>
      </c>
      <c r="AC17">
        <v>0</v>
      </c>
    </row>
    <row r="18" spans="6:29" x14ac:dyDescent="0.15">
      <c r="F18">
        <v>1.5</v>
      </c>
      <c r="G18">
        <f t="shared" si="1"/>
        <v>0.12951759566589174</v>
      </c>
      <c r="H18">
        <f t="shared" si="4"/>
        <v>0.12744479428709171</v>
      </c>
      <c r="I18">
        <f t="shared" si="2"/>
        <v>0.12896160173967178</v>
      </c>
      <c r="J18">
        <f t="shared" si="2"/>
        <v>0.12920321834422047</v>
      </c>
      <c r="K18">
        <f t="shared" si="2"/>
        <v>0.12936799740683039</v>
      </c>
      <c r="T18">
        <f t="shared" si="3"/>
        <v>0.61359897577349831</v>
      </c>
      <c r="U18">
        <f t="shared" si="3"/>
        <v>0.56859785335149926</v>
      </c>
      <c r="V18">
        <f t="shared" si="3"/>
        <v>0.5178046667929459</v>
      </c>
      <c r="W18">
        <f t="shared" si="3"/>
        <v>0.49850180243283387</v>
      </c>
      <c r="Y18">
        <v>0.53999999999999904</v>
      </c>
      <c r="Z18">
        <v>2</v>
      </c>
      <c r="AA18">
        <v>2</v>
      </c>
      <c r="AB18">
        <v>0</v>
      </c>
      <c r="AC18">
        <v>0</v>
      </c>
    </row>
    <row r="19" spans="6:29" x14ac:dyDescent="0.15">
      <c r="F19">
        <v>2</v>
      </c>
      <c r="G19">
        <f t="shared" si="1"/>
        <v>5.3990966513188063E-2</v>
      </c>
      <c r="H19">
        <f t="shared" si="4"/>
        <v>6.1145766321218181E-2</v>
      </c>
      <c r="I19">
        <f t="shared" si="2"/>
        <v>5.6852275047197962E-2</v>
      </c>
      <c r="J19">
        <f t="shared" si="2"/>
        <v>5.5774151649800992E-2</v>
      </c>
      <c r="K19">
        <f t="shared" si="2"/>
        <v>5.490864329540969E-2</v>
      </c>
      <c r="T19">
        <f t="shared" si="3"/>
        <v>0.34250184854812832</v>
      </c>
      <c r="U19">
        <f t="shared" si="3"/>
        <v>0.52298336589946193</v>
      </c>
      <c r="V19">
        <f t="shared" si="3"/>
        <v>0.51362503347470834</v>
      </c>
      <c r="W19">
        <f t="shared" si="3"/>
        <v>0.50667688212085626</v>
      </c>
      <c r="Y19">
        <v>0.54999999999999905</v>
      </c>
      <c r="Z19">
        <v>1</v>
      </c>
      <c r="AA19">
        <v>1</v>
      </c>
      <c r="AB19">
        <v>0</v>
      </c>
      <c r="AC19">
        <v>0</v>
      </c>
    </row>
    <row r="20" spans="6:29" x14ac:dyDescent="0.15">
      <c r="F20">
        <v>2.5</v>
      </c>
      <c r="G20">
        <f t="shared" si="1"/>
        <v>1.752830049356854E-2</v>
      </c>
      <c r="H20">
        <f t="shared" si="4"/>
        <v>2.6938727628244463E-2</v>
      </c>
      <c r="I20">
        <f t="shared" si="2"/>
        <v>2.1057019220621639E-2</v>
      </c>
      <c r="J20">
        <f t="shared" si="2"/>
        <v>1.9694702081706587E-2</v>
      </c>
      <c r="K20">
        <f t="shared" si="2"/>
        <v>1.8630003746412823E-2</v>
      </c>
      <c r="T20">
        <f t="shared" si="3"/>
        <v>0.48768138001456168</v>
      </c>
      <c r="U20">
        <f t="shared" si="3"/>
        <v>0.43257231571343679</v>
      </c>
      <c r="V20">
        <f t="shared" si="3"/>
        <v>0.498437119976055</v>
      </c>
      <c r="W20">
        <f t="shared" si="3"/>
        <v>0.49185816212678546</v>
      </c>
      <c r="Y20">
        <v>0.55999999999999905</v>
      </c>
      <c r="Z20">
        <v>0</v>
      </c>
      <c r="AA20">
        <v>0</v>
      </c>
      <c r="AB20">
        <v>0</v>
      </c>
      <c r="AC20">
        <v>0</v>
      </c>
    </row>
    <row r="21" spans="6:29" x14ac:dyDescent="0.15">
      <c r="F21">
        <v>3</v>
      </c>
      <c r="G21">
        <f t="shared" si="1"/>
        <v>4.4318484119380075E-3</v>
      </c>
      <c r="H21">
        <f t="shared" si="4"/>
        <v>1.1400549464542524E-2</v>
      </c>
      <c r="I21">
        <f t="shared" si="2"/>
        <v>6.7790627460931003E-3</v>
      </c>
      <c r="J21">
        <f t="shared" si="2"/>
        <v>5.8310605583565224E-3</v>
      </c>
      <c r="K21">
        <f t="shared" si="2"/>
        <v>5.1260897023202509E-3</v>
      </c>
      <c r="T21">
        <f t="shared" si="3"/>
        <v>0.34502401091990709</v>
      </c>
      <c r="U21">
        <f t="shared" si="3"/>
        <v>0.52243474187987815</v>
      </c>
      <c r="V21">
        <f t="shared" si="3"/>
        <v>0.50434134131806607</v>
      </c>
      <c r="W21">
        <f t="shared" si="3"/>
        <v>0.49491258753058437</v>
      </c>
      <c r="Y21">
        <v>0.56999999999999895</v>
      </c>
      <c r="Z21">
        <v>0</v>
      </c>
      <c r="AA21">
        <v>1</v>
      </c>
      <c r="AB21">
        <v>0</v>
      </c>
      <c r="AC21">
        <v>0</v>
      </c>
    </row>
    <row r="22" spans="6:29" x14ac:dyDescent="0.15">
      <c r="F22">
        <v>3.5</v>
      </c>
      <c r="G22">
        <f t="shared" si="1"/>
        <v>8.7268269504576015E-4</v>
      </c>
      <c r="H22">
        <f t="shared" si="4"/>
        <v>4.7836071267013227E-3</v>
      </c>
      <c r="I22">
        <f t="shared" si="2"/>
        <v>1.9604555808020938E-3</v>
      </c>
      <c r="J22">
        <f t="shared" si="2"/>
        <v>1.4856628942363083E-3</v>
      </c>
      <c r="K22">
        <f t="shared" si="2"/>
        <v>1.1625554838789979E-3</v>
      </c>
      <c r="T22">
        <f t="shared" si="3"/>
        <v>0.72284249174352955</v>
      </c>
      <c r="U22">
        <f t="shared" si="3"/>
        <v>0.42381208071864357</v>
      </c>
      <c r="V22">
        <f t="shared" si="3"/>
        <v>0.50201260835644956</v>
      </c>
      <c r="W22">
        <f t="shared" si="3"/>
        <v>0.50075790172233947</v>
      </c>
      <c r="Y22">
        <v>0.57999999999999896</v>
      </c>
      <c r="Z22">
        <v>0</v>
      </c>
      <c r="AA22">
        <v>0</v>
      </c>
      <c r="AB22">
        <v>0</v>
      </c>
      <c r="AC22">
        <v>0</v>
      </c>
    </row>
    <row r="23" spans="6:29" x14ac:dyDescent="0.15">
      <c r="F23">
        <v>4</v>
      </c>
      <c r="G23">
        <f t="shared" si="1"/>
        <v>1.3383022576488537E-4</v>
      </c>
      <c r="H23">
        <f t="shared" si="4"/>
        <v>2.0310339110412167E-3</v>
      </c>
      <c r="I23">
        <f t="shared" si="2"/>
        <v>5.2471644019740798E-4</v>
      </c>
      <c r="J23">
        <f t="shared" si="2"/>
        <v>3.3427468818049395E-4</v>
      </c>
      <c r="K23">
        <f t="shared" si="2"/>
        <v>2.2115455654062892E-4</v>
      </c>
      <c r="T23">
        <f t="shared" si="3"/>
        <v>0.4800372712423745</v>
      </c>
      <c r="U23">
        <f t="shared" si="3"/>
        <v>0.52275644512238439</v>
      </c>
      <c r="V23">
        <f t="shared" si="3"/>
        <v>0.50272923088551813</v>
      </c>
      <c r="W23">
        <f t="shared" si="3"/>
        <v>0.49843678328211516</v>
      </c>
      <c r="Y23">
        <v>0.58999999999999897</v>
      </c>
      <c r="Z23">
        <v>0</v>
      </c>
      <c r="AA23">
        <v>0</v>
      </c>
      <c r="AB23">
        <v>0</v>
      </c>
      <c r="AC23">
        <v>0</v>
      </c>
    </row>
    <row r="24" spans="6:29" x14ac:dyDescent="0.15">
      <c r="F24">
        <v>4.5</v>
      </c>
      <c r="G24">
        <f t="shared" si="1"/>
        <v>1.5983741106905475E-5</v>
      </c>
      <c r="H24">
        <f t="shared" si="4"/>
        <v>8.8324462669310902E-4</v>
      </c>
      <c r="I24">
        <f t="shared" si="2"/>
        <v>1.3337119368780277E-4</v>
      </c>
      <c r="J24">
        <f t="shared" si="2"/>
        <v>6.8075755523533101E-5</v>
      </c>
      <c r="K24">
        <f t="shared" si="2"/>
        <v>3.5935819475144766E-5</v>
      </c>
      <c r="T24">
        <f t="shared" si="3"/>
        <v>0.50498847489575072</v>
      </c>
      <c r="U24">
        <f t="shared" si="3"/>
        <v>0.39278988899874784</v>
      </c>
      <c r="V24">
        <f t="shared" si="3"/>
        <v>0.50486179325006164</v>
      </c>
      <c r="W24">
        <f t="shared" si="3"/>
        <v>0.50420891406480761</v>
      </c>
      <c r="Y24">
        <v>0.59999999999999898</v>
      </c>
      <c r="Z24">
        <v>0</v>
      </c>
      <c r="AA24">
        <v>0</v>
      </c>
      <c r="AB24">
        <v>0</v>
      </c>
      <c r="AC24">
        <v>0</v>
      </c>
    </row>
    <row r="25" spans="6:29" x14ac:dyDescent="0.15">
      <c r="F25">
        <v>5</v>
      </c>
      <c r="G25">
        <f t="shared" si="1"/>
        <v>1.4867195147342977E-6</v>
      </c>
      <c r="H25">
        <f t="shared" si="4"/>
        <v>3.960010564637988E-4</v>
      </c>
      <c r="I25">
        <f t="shared" si="2"/>
        <v>3.2888902052922403E-5</v>
      </c>
      <c r="J25">
        <f t="shared" si="2"/>
        <v>1.2835465750193539E-5</v>
      </c>
      <c r="K25">
        <f t="shared" si="2"/>
        <v>5.0800582347272843E-6</v>
      </c>
      <c r="Y25">
        <v>0.60999999999999899</v>
      </c>
      <c r="Z25">
        <v>5</v>
      </c>
      <c r="AA25">
        <v>1</v>
      </c>
      <c r="AB25">
        <v>0</v>
      </c>
      <c r="AC25">
        <v>0</v>
      </c>
    </row>
    <row r="27" spans="6:29" x14ac:dyDescent="0.15">
      <c r="Z27">
        <v>10</v>
      </c>
      <c r="AA27">
        <v>100</v>
      </c>
      <c r="AB27">
        <v>1000</v>
      </c>
      <c r="AC27">
        <v>5000</v>
      </c>
    </row>
    <row r="28" spans="6:29" x14ac:dyDescent="0.15">
      <c r="T28">
        <v>10</v>
      </c>
      <c r="U28">
        <v>100</v>
      </c>
      <c r="V28">
        <v>1000</v>
      </c>
      <c r="W28">
        <v>2000</v>
      </c>
      <c r="Y28">
        <v>0.5</v>
      </c>
      <c r="Z28">
        <f t="array" ref="Z28:Z49">FREQUENCY(T28:T49,$Y$28:$Y$48)</f>
        <v>0</v>
      </c>
      <c r="AA28">
        <f t="array" ref="AA28:AA49">FREQUENCY(U28:U49,$Y$28:$Y$48)</f>
        <v>0</v>
      </c>
      <c r="AB28">
        <f t="array" ref="AB28:AB49">FREQUENCY(V28:V49,$Y$28:$Y$48)</f>
        <v>0</v>
      </c>
      <c r="AC28">
        <f t="array" ref="AC28:AC49">FREQUENCY(W28:W49,$Y$28:$Y$48)</f>
        <v>0</v>
      </c>
    </row>
    <row r="29" spans="6:29" x14ac:dyDescent="0.15">
      <c r="T29">
        <f>MeanOfLogNormal(T$3,0,1)</f>
        <v>1.870434861896463</v>
      </c>
      <c r="U29">
        <f t="shared" ref="U29:W49" si="5">MeanOfLogNormal(U$3,0,1)</f>
        <v>1.7364070076491256</v>
      </c>
      <c r="V29">
        <f t="shared" si="5"/>
        <v>1.6077536284201961</v>
      </c>
      <c r="W29">
        <f t="shared" si="5"/>
        <v>1.6690982652232869</v>
      </c>
      <c r="Y29">
        <v>0.6</v>
      </c>
      <c r="Z29">
        <v>0</v>
      </c>
      <c r="AA29">
        <v>0</v>
      </c>
      <c r="AB29">
        <v>0</v>
      </c>
      <c r="AC29">
        <v>0</v>
      </c>
    </row>
    <row r="30" spans="6:29" x14ac:dyDescent="0.15">
      <c r="T30">
        <f t="shared" ref="T30:T49" si="6">MeanOfLogNormal(T$3,0,1)</f>
        <v>4.4168444982429662</v>
      </c>
      <c r="U30">
        <f t="shared" si="5"/>
        <v>1.6672938833153383</v>
      </c>
      <c r="V30">
        <f t="shared" si="5"/>
        <v>1.711796072642876</v>
      </c>
      <c r="W30">
        <f t="shared" si="5"/>
        <v>1.5815749482616319</v>
      </c>
      <c r="Y30">
        <v>0.7</v>
      </c>
      <c r="Z30">
        <v>0</v>
      </c>
      <c r="AA30">
        <v>0</v>
      </c>
      <c r="AB30">
        <v>0</v>
      </c>
      <c r="AC30">
        <v>0</v>
      </c>
    </row>
    <row r="31" spans="6:29" x14ac:dyDescent="0.15">
      <c r="T31">
        <f t="shared" si="6"/>
        <v>1.1787762169970215</v>
      </c>
      <c r="U31">
        <f t="shared" si="5"/>
        <v>1.521373052985443</v>
      </c>
      <c r="V31">
        <f t="shared" si="5"/>
        <v>1.6054587602155921</v>
      </c>
      <c r="W31">
        <f t="shared" si="5"/>
        <v>1.6560872339231525</v>
      </c>
      <c r="Y31">
        <v>0.8</v>
      </c>
      <c r="Z31">
        <v>0</v>
      </c>
      <c r="AA31">
        <v>0</v>
      </c>
      <c r="AB31">
        <v>0</v>
      </c>
      <c r="AC31">
        <v>0</v>
      </c>
    </row>
    <row r="32" spans="6:29" x14ac:dyDescent="0.15">
      <c r="T32">
        <f t="shared" si="6"/>
        <v>2.7510698676899072</v>
      </c>
      <c r="U32">
        <f t="shared" si="5"/>
        <v>1.4485628890860678</v>
      </c>
      <c r="V32">
        <f t="shared" si="5"/>
        <v>1.6481170752170262</v>
      </c>
      <c r="W32">
        <f t="shared" si="5"/>
        <v>1.7269507463910621</v>
      </c>
      <c r="Y32">
        <v>0.9</v>
      </c>
      <c r="Z32">
        <v>1</v>
      </c>
      <c r="AA32">
        <v>0</v>
      </c>
      <c r="AB32">
        <v>0</v>
      </c>
      <c r="AC32">
        <v>0</v>
      </c>
    </row>
    <row r="33" spans="20:29" x14ac:dyDescent="0.15">
      <c r="T33">
        <f t="shared" si="6"/>
        <v>2.1330127988758671</v>
      </c>
      <c r="U33">
        <f t="shared" si="5"/>
        <v>1.7892280752633962</v>
      </c>
      <c r="V33">
        <f t="shared" si="5"/>
        <v>1.7287652335051065</v>
      </c>
      <c r="W33">
        <f t="shared" si="5"/>
        <v>1.6670678300140789</v>
      </c>
      <c r="Y33">
        <v>1</v>
      </c>
      <c r="Z33">
        <v>0</v>
      </c>
      <c r="AA33">
        <v>0</v>
      </c>
      <c r="AB33">
        <v>0</v>
      </c>
      <c r="AC33">
        <v>0</v>
      </c>
    </row>
    <row r="34" spans="20:29" x14ac:dyDescent="0.15">
      <c r="T34">
        <f t="shared" si="6"/>
        <v>1.3933604849763004</v>
      </c>
      <c r="U34">
        <f t="shared" si="5"/>
        <v>1.7867824056285317</v>
      </c>
      <c r="V34">
        <f t="shared" si="5"/>
        <v>1.621582755427355</v>
      </c>
      <c r="W34">
        <f t="shared" si="5"/>
        <v>1.6742771799252389</v>
      </c>
      <c r="Y34">
        <v>1.1000000000000001</v>
      </c>
      <c r="Z34">
        <v>0</v>
      </c>
      <c r="AA34">
        <v>0</v>
      </c>
      <c r="AB34">
        <v>0</v>
      </c>
      <c r="AC34">
        <v>0</v>
      </c>
    </row>
    <row r="35" spans="20:29" x14ac:dyDescent="0.15">
      <c r="T35">
        <f t="shared" si="6"/>
        <v>2.2385132472754892</v>
      </c>
      <c r="U35">
        <f t="shared" si="5"/>
        <v>1.5327045319379187</v>
      </c>
      <c r="V35">
        <f t="shared" si="5"/>
        <v>1.6438319368341852</v>
      </c>
      <c r="W35">
        <f t="shared" si="5"/>
        <v>1.6449584395987251</v>
      </c>
      <c r="Y35">
        <v>1.2</v>
      </c>
      <c r="Z35">
        <v>1</v>
      </c>
      <c r="AA35">
        <v>0</v>
      </c>
      <c r="AB35">
        <v>0</v>
      </c>
      <c r="AC35">
        <v>0</v>
      </c>
    </row>
    <row r="36" spans="20:29" x14ac:dyDescent="0.15">
      <c r="T36">
        <f t="shared" si="6"/>
        <v>0.81240767819640336</v>
      </c>
      <c r="U36">
        <f t="shared" si="5"/>
        <v>1.6181407192956383</v>
      </c>
      <c r="V36">
        <f t="shared" si="5"/>
        <v>1.6041839741698303</v>
      </c>
      <c r="W36">
        <f t="shared" si="5"/>
        <v>1.5944398386511758</v>
      </c>
      <c r="Y36">
        <v>1.3</v>
      </c>
      <c r="Z36">
        <v>2</v>
      </c>
      <c r="AA36">
        <v>1</v>
      </c>
      <c r="AB36">
        <v>0</v>
      </c>
      <c r="AC36">
        <v>0</v>
      </c>
    </row>
    <row r="37" spans="20:29" x14ac:dyDescent="0.15">
      <c r="T37">
        <f t="shared" si="6"/>
        <v>1.2012024079106487</v>
      </c>
      <c r="U37">
        <f t="shared" si="5"/>
        <v>1.5264944137309207</v>
      </c>
      <c r="V37">
        <f t="shared" si="5"/>
        <v>1.5905547527570476</v>
      </c>
      <c r="W37">
        <f t="shared" si="5"/>
        <v>1.6188679408613047</v>
      </c>
      <c r="Y37">
        <v>1.4</v>
      </c>
      <c r="Z37">
        <v>2</v>
      </c>
      <c r="AA37">
        <v>1</v>
      </c>
      <c r="AB37">
        <v>0</v>
      </c>
      <c r="AC37">
        <v>0</v>
      </c>
    </row>
    <row r="38" spans="20:29" x14ac:dyDescent="0.15">
      <c r="T38">
        <f t="shared" si="6"/>
        <v>1.7330008518783031</v>
      </c>
      <c r="U38">
        <f t="shared" si="5"/>
        <v>2.1584593817541915</v>
      </c>
      <c r="V38">
        <f t="shared" si="5"/>
        <v>1.6560894430086166</v>
      </c>
      <c r="W38">
        <f t="shared" si="5"/>
        <v>1.6399971601081029</v>
      </c>
      <c r="Y38">
        <v>1.5</v>
      </c>
      <c r="Z38">
        <v>2</v>
      </c>
      <c r="AA38">
        <v>4</v>
      </c>
      <c r="AB38">
        <v>0</v>
      </c>
      <c r="AC38">
        <v>0</v>
      </c>
    </row>
    <row r="39" spans="20:29" x14ac:dyDescent="0.15">
      <c r="T39">
        <f t="shared" si="6"/>
        <v>1.4821867615598299</v>
      </c>
      <c r="U39">
        <f t="shared" si="5"/>
        <v>1.6543699063741792</v>
      </c>
      <c r="V39">
        <f t="shared" si="5"/>
        <v>1.6754850122118701</v>
      </c>
      <c r="W39">
        <f t="shared" si="5"/>
        <v>1.6601810857223143</v>
      </c>
      <c r="Y39">
        <v>1.6</v>
      </c>
      <c r="Z39">
        <v>1</v>
      </c>
      <c r="AA39">
        <v>4</v>
      </c>
      <c r="AB39">
        <v>6</v>
      </c>
      <c r="AC39">
        <v>2</v>
      </c>
    </row>
    <row r="40" spans="20:29" x14ac:dyDescent="0.15">
      <c r="T40">
        <f t="shared" si="6"/>
        <v>4.5660008426371821</v>
      </c>
      <c r="U40">
        <f t="shared" si="5"/>
        <v>1.2968328050129108</v>
      </c>
      <c r="V40">
        <f t="shared" si="5"/>
        <v>1.6025327466852</v>
      </c>
      <c r="W40">
        <f t="shared" si="5"/>
        <v>1.678930670785838</v>
      </c>
      <c r="Y40">
        <v>1.7</v>
      </c>
      <c r="Z40">
        <v>0</v>
      </c>
      <c r="AA40">
        <v>4</v>
      </c>
      <c r="AB40">
        <v>12</v>
      </c>
      <c r="AC40">
        <v>16</v>
      </c>
    </row>
    <row r="41" spans="20:29" x14ac:dyDescent="0.15">
      <c r="T41">
        <f t="shared" si="6"/>
        <v>2.4814646653740251</v>
      </c>
      <c r="U41">
        <f t="shared" si="5"/>
        <v>1.5671031790549927</v>
      </c>
      <c r="V41">
        <f t="shared" si="5"/>
        <v>1.5970196701899002</v>
      </c>
      <c r="W41">
        <f t="shared" si="5"/>
        <v>1.630324116131608</v>
      </c>
      <c r="Y41">
        <v>1.8</v>
      </c>
      <c r="Z41">
        <v>1</v>
      </c>
      <c r="AA41">
        <v>3</v>
      </c>
      <c r="AB41">
        <v>3</v>
      </c>
      <c r="AC41">
        <v>3</v>
      </c>
    </row>
    <row r="42" spans="20:29" x14ac:dyDescent="0.15">
      <c r="T42">
        <f t="shared" si="6"/>
        <v>2.6410935104283295</v>
      </c>
      <c r="U42">
        <f t="shared" si="5"/>
        <v>1.6048322163745194</v>
      </c>
      <c r="V42">
        <f t="shared" si="5"/>
        <v>1.5922461073457939</v>
      </c>
      <c r="W42">
        <f t="shared" si="5"/>
        <v>1.6467099163611656</v>
      </c>
      <c r="Y42">
        <v>1.9</v>
      </c>
      <c r="Z42">
        <v>1</v>
      </c>
      <c r="AA42">
        <v>1</v>
      </c>
      <c r="AB42">
        <v>0</v>
      </c>
      <c r="AC42">
        <v>0</v>
      </c>
    </row>
    <row r="43" spans="20:29" x14ac:dyDescent="0.15">
      <c r="T43">
        <f t="shared" si="6"/>
        <v>2.199807254665759</v>
      </c>
      <c r="U43">
        <f t="shared" si="5"/>
        <v>1.3165351205385276</v>
      </c>
      <c r="V43">
        <f t="shared" si="5"/>
        <v>1.5723834746952321</v>
      </c>
      <c r="W43">
        <f t="shared" si="5"/>
        <v>1.7098942762786549</v>
      </c>
      <c r="Y43">
        <v>2</v>
      </c>
      <c r="Z43">
        <v>1</v>
      </c>
      <c r="AA43">
        <v>2</v>
      </c>
      <c r="AB43">
        <v>0</v>
      </c>
      <c r="AC43">
        <v>0</v>
      </c>
    </row>
    <row r="44" spans="20:29" x14ac:dyDescent="0.15">
      <c r="T44">
        <f t="shared" si="6"/>
        <v>1.3258156922031976</v>
      </c>
      <c r="U44">
        <f t="shared" si="5"/>
        <v>1.4517247044966524</v>
      </c>
      <c r="V44">
        <f t="shared" si="5"/>
        <v>1.6163082615830229</v>
      </c>
      <c r="W44">
        <f t="shared" si="5"/>
        <v>1.7006150838721497</v>
      </c>
      <c r="Y44">
        <v>2.1</v>
      </c>
      <c r="Z44">
        <v>0</v>
      </c>
      <c r="AA44">
        <v>0</v>
      </c>
      <c r="AB44">
        <v>0</v>
      </c>
      <c r="AC44">
        <v>0</v>
      </c>
    </row>
    <row r="45" spans="20:29" x14ac:dyDescent="0.15">
      <c r="T45">
        <f t="shared" si="6"/>
        <v>1.5064170270193797</v>
      </c>
      <c r="U45">
        <f t="shared" si="5"/>
        <v>1.9769947183701368</v>
      </c>
      <c r="V45">
        <f t="shared" si="5"/>
        <v>1.6247757146428112</v>
      </c>
      <c r="W45">
        <f t="shared" si="5"/>
        <v>1.6006265079467861</v>
      </c>
      <c r="Y45">
        <v>2.2000000000000002</v>
      </c>
      <c r="Z45">
        <v>2</v>
      </c>
      <c r="AA45">
        <v>1</v>
      </c>
      <c r="AB45">
        <v>0</v>
      </c>
      <c r="AC45">
        <v>0</v>
      </c>
    </row>
    <row r="46" spans="20:29" x14ac:dyDescent="0.15">
      <c r="T46">
        <f t="shared" si="6"/>
        <v>2.2179251848783337</v>
      </c>
      <c r="U46">
        <f t="shared" si="5"/>
        <v>1.4248078670292625</v>
      </c>
      <c r="V46">
        <f t="shared" si="5"/>
        <v>1.5898001862564988</v>
      </c>
      <c r="W46">
        <f t="shared" si="5"/>
        <v>1.630314672631151</v>
      </c>
      <c r="Y46">
        <v>2.2999999999999998</v>
      </c>
      <c r="Z46">
        <v>2</v>
      </c>
      <c r="AA46">
        <v>0</v>
      </c>
      <c r="AB46">
        <v>0</v>
      </c>
      <c r="AC46">
        <v>0</v>
      </c>
    </row>
    <row r="47" spans="20:29" x14ac:dyDescent="0.15">
      <c r="T47">
        <f t="shared" si="6"/>
        <v>1.430526839924348</v>
      </c>
      <c r="U47">
        <f t="shared" si="5"/>
        <v>1.9514060918644802</v>
      </c>
      <c r="V47">
        <f t="shared" si="5"/>
        <v>1.7191090246099203</v>
      </c>
      <c r="W47">
        <f t="shared" si="5"/>
        <v>1.6360735747626447</v>
      </c>
      <c r="Y47">
        <v>2.4</v>
      </c>
      <c r="Z47">
        <v>0</v>
      </c>
      <c r="AA47">
        <v>0</v>
      </c>
      <c r="AB47">
        <v>0</v>
      </c>
      <c r="AC47">
        <v>0</v>
      </c>
    </row>
    <row r="48" spans="20:29" x14ac:dyDescent="0.15">
      <c r="T48">
        <f t="shared" si="6"/>
        <v>1.2829947003544642</v>
      </c>
      <c r="U48">
        <f t="shared" si="5"/>
        <v>1.4103273928148128</v>
      </c>
      <c r="V48">
        <f t="shared" si="5"/>
        <v>1.6559401076068585</v>
      </c>
      <c r="W48">
        <f t="shared" si="5"/>
        <v>1.6209418954844341</v>
      </c>
      <c r="Y48">
        <v>2.5</v>
      </c>
      <c r="Z48">
        <v>1</v>
      </c>
      <c r="AA48">
        <v>0</v>
      </c>
      <c r="AB48">
        <v>0</v>
      </c>
      <c r="AC48">
        <v>0</v>
      </c>
    </row>
    <row r="49" spans="20:29" x14ac:dyDescent="0.15">
      <c r="T49">
        <f t="shared" si="6"/>
        <v>1.9498789727060202</v>
      </c>
      <c r="U49">
        <f t="shared" si="5"/>
        <v>1.8203816626699623</v>
      </c>
      <c r="V49">
        <f t="shared" si="5"/>
        <v>1.5557161500994681</v>
      </c>
      <c r="W49">
        <f t="shared" si="5"/>
        <v>1.6669628563688321</v>
      </c>
      <c r="Y49">
        <v>2.6</v>
      </c>
      <c r="Z49">
        <v>5</v>
      </c>
      <c r="AA49">
        <v>1</v>
      </c>
      <c r="AB49">
        <v>1</v>
      </c>
      <c r="AC49">
        <v>1</v>
      </c>
    </row>
    <row r="51" spans="20:29" x14ac:dyDescent="0.15">
      <c r="Z51">
        <v>10</v>
      </c>
      <c r="AA51">
        <v>100</v>
      </c>
      <c r="AB51">
        <v>1000</v>
      </c>
      <c r="AC51">
        <v>5000</v>
      </c>
    </row>
    <row r="52" spans="20:29" x14ac:dyDescent="0.15">
      <c r="T52">
        <v>10</v>
      </c>
      <c r="U52">
        <v>100</v>
      </c>
      <c r="V52">
        <v>1000</v>
      </c>
      <c r="W52">
        <v>5000</v>
      </c>
      <c r="Y52">
        <v>0</v>
      </c>
      <c r="Z52">
        <f t="array" ref="Z52:Z82">FREQUENCY(T52:T73,$Y$52:$Y$82)</f>
        <v>0</v>
      </c>
      <c r="AA52">
        <f t="array" ref="AA52:AA82">FREQUENCY(U52:U73,$Y$52:$Y$82)</f>
        <v>0</v>
      </c>
      <c r="AB52">
        <f t="array" ref="AB52:AB82">FREQUENCY(V52:V73,$Y$52:$Y$82)</f>
        <v>0</v>
      </c>
      <c r="AC52">
        <f t="array" ref="AC52:AC82">FREQUENCY(W52:W73,$Y$52:$Y$82)</f>
        <v>0</v>
      </c>
    </row>
    <row r="53" spans="20:29" x14ac:dyDescent="0.15">
      <c r="T53">
        <f>MeanOfLogNormalCallOption(T$3,0,1,2)</f>
        <v>1.3051375493972404</v>
      </c>
      <c r="U53">
        <f t="shared" ref="U53:W73" si="7">MeanOfLogNormalCallOption(U$3,0,1,2)</f>
        <v>0.73827240429835272</v>
      </c>
      <c r="V53">
        <f t="shared" si="7"/>
        <v>0.55416973846865891</v>
      </c>
      <c r="W53">
        <f>MeanOfLogNormalCallOption(W$3,0,1,2)</f>
        <v>0.53531216611389421</v>
      </c>
      <c r="Y53">
        <v>0.05</v>
      </c>
      <c r="Z53">
        <v>1</v>
      </c>
      <c r="AA53">
        <v>0</v>
      </c>
      <c r="AB53">
        <v>0</v>
      </c>
      <c r="AC53">
        <v>0</v>
      </c>
    </row>
    <row r="54" spans="20:29" x14ac:dyDescent="0.15">
      <c r="T54">
        <f t="shared" ref="T54:T73" si="8">MeanOfLogNormalCallOption(T$3,0,1,2)</f>
        <v>0.90197774034500833</v>
      </c>
      <c r="U54">
        <f t="shared" si="7"/>
        <v>0.85940681290989607</v>
      </c>
      <c r="V54">
        <f t="shared" si="7"/>
        <v>0.5731843339972319</v>
      </c>
      <c r="W54">
        <f t="shared" si="7"/>
        <v>0.52408284893198764</v>
      </c>
      <c r="Y54">
        <v>0.1</v>
      </c>
      <c r="Z54">
        <v>0</v>
      </c>
      <c r="AA54">
        <v>0</v>
      </c>
      <c r="AB54">
        <v>0</v>
      </c>
      <c r="AC54">
        <v>0</v>
      </c>
    </row>
    <row r="55" spans="20:29" x14ac:dyDescent="0.15">
      <c r="T55">
        <f t="shared" si="8"/>
        <v>1.3078863643791543</v>
      </c>
      <c r="U55">
        <f t="shared" si="7"/>
        <v>0.47248580292847719</v>
      </c>
      <c r="V55">
        <f t="shared" si="7"/>
        <v>0.47133953446964</v>
      </c>
      <c r="W55">
        <f t="shared" si="7"/>
        <v>0.55081729028558324</v>
      </c>
      <c r="Y55">
        <v>0.15</v>
      </c>
      <c r="Z55">
        <v>1</v>
      </c>
      <c r="AA55">
        <v>0</v>
      </c>
      <c r="AB55">
        <v>0</v>
      </c>
      <c r="AC55">
        <v>0</v>
      </c>
    </row>
    <row r="56" spans="20:29" x14ac:dyDescent="0.15">
      <c r="T56">
        <f t="shared" si="8"/>
        <v>0.33365467909686741</v>
      </c>
      <c r="U56">
        <f t="shared" si="7"/>
        <v>0.63393641770892772</v>
      </c>
      <c r="V56">
        <f t="shared" si="7"/>
        <v>0.48334081334550377</v>
      </c>
      <c r="W56">
        <f t="shared" si="7"/>
        <v>0.52543738995107758</v>
      </c>
      <c r="Y56">
        <v>0.2</v>
      </c>
      <c r="Z56">
        <v>3</v>
      </c>
      <c r="AA56">
        <v>0</v>
      </c>
      <c r="AB56">
        <v>0</v>
      </c>
      <c r="AC56">
        <v>0</v>
      </c>
    </row>
    <row r="57" spans="20:29" x14ac:dyDescent="0.15">
      <c r="T57">
        <f t="shared" si="8"/>
        <v>1.0498760103843465</v>
      </c>
      <c r="U57">
        <f t="shared" si="7"/>
        <v>0.39819882243063026</v>
      </c>
      <c r="V57">
        <f t="shared" si="7"/>
        <v>0.57995897777536765</v>
      </c>
      <c r="W57">
        <f t="shared" si="7"/>
        <v>0.5130884787717449</v>
      </c>
      <c r="Y57">
        <v>0.25</v>
      </c>
      <c r="Z57">
        <v>0</v>
      </c>
      <c r="AA57">
        <v>0</v>
      </c>
      <c r="AB57">
        <v>0</v>
      </c>
      <c r="AC57">
        <v>0</v>
      </c>
    </row>
    <row r="58" spans="20:29" x14ac:dyDescent="0.15">
      <c r="T58">
        <f t="shared" si="8"/>
        <v>0.17304435322939046</v>
      </c>
      <c r="U58">
        <f t="shared" si="7"/>
        <v>0.37494954351442694</v>
      </c>
      <c r="V58">
        <f t="shared" si="7"/>
        <v>0.466490417711039</v>
      </c>
      <c r="W58">
        <f t="shared" si="7"/>
        <v>0.49626904658384374</v>
      </c>
      <c r="Y58">
        <v>0.3</v>
      </c>
      <c r="Z58">
        <v>1</v>
      </c>
      <c r="AA58">
        <v>0</v>
      </c>
      <c r="AB58">
        <v>0</v>
      </c>
      <c r="AC58">
        <v>0</v>
      </c>
    </row>
    <row r="59" spans="20:29" x14ac:dyDescent="0.15">
      <c r="T59">
        <f t="shared" si="8"/>
        <v>0.68451859593600251</v>
      </c>
      <c r="U59">
        <f t="shared" si="7"/>
        <v>0.41633855251415286</v>
      </c>
      <c r="V59">
        <f t="shared" si="7"/>
        <v>0.5608331609241507</v>
      </c>
      <c r="W59">
        <f t="shared" si="7"/>
        <v>0.50162619590204915</v>
      </c>
      <c r="Y59">
        <v>0.35</v>
      </c>
      <c r="Z59">
        <v>3</v>
      </c>
      <c r="AA59">
        <v>0</v>
      </c>
      <c r="AB59">
        <v>0</v>
      </c>
      <c r="AC59">
        <v>0</v>
      </c>
    </row>
    <row r="60" spans="20:29" x14ac:dyDescent="0.15">
      <c r="T60">
        <f t="shared" si="8"/>
        <v>0.71081259770107441</v>
      </c>
      <c r="U60">
        <f t="shared" si="7"/>
        <v>0.46570965772809586</v>
      </c>
      <c r="V60">
        <f t="shared" si="7"/>
        <v>0.53196432070029043</v>
      </c>
      <c r="W60">
        <f t="shared" si="7"/>
        <v>0.46800972662182683</v>
      </c>
      <c r="Y60">
        <v>0.4</v>
      </c>
      <c r="Z60">
        <v>0</v>
      </c>
      <c r="AA60">
        <v>4</v>
      </c>
      <c r="AB60">
        <v>0</v>
      </c>
      <c r="AC60">
        <v>0</v>
      </c>
    </row>
    <row r="61" spans="20:29" x14ac:dyDescent="0.15">
      <c r="T61">
        <f t="shared" si="8"/>
        <v>0.66800809744285217</v>
      </c>
      <c r="U61">
        <f t="shared" si="7"/>
        <v>0.49929535665917707</v>
      </c>
      <c r="V61">
        <f t="shared" si="7"/>
        <v>0.5675811906012258</v>
      </c>
      <c r="W61">
        <f t="shared" si="7"/>
        <v>0.51636723198068712</v>
      </c>
      <c r="Y61">
        <v>0.45</v>
      </c>
      <c r="Z61">
        <v>1</v>
      </c>
      <c r="AA61">
        <v>1</v>
      </c>
      <c r="AB61">
        <v>1</v>
      </c>
      <c r="AC61">
        <v>0</v>
      </c>
    </row>
    <row r="62" spans="20:29" x14ac:dyDescent="0.15">
      <c r="T62">
        <f t="shared" si="8"/>
        <v>0.34157692694661418</v>
      </c>
      <c r="U62">
        <f t="shared" si="7"/>
        <v>0.35874877704480485</v>
      </c>
      <c r="V62">
        <f t="shared" si="7"/>
        <v>0.48947543252176312</v>
      </c>
      <c r="W62">
        <f t="shared" si="7"/>
        <v>0.56068135637357153</v>
      </c>
      <c r="Y62">
        <v>0.5</v>
      </c>
      <c r="Z62">
        <v>0</v>
      </c>
      <c r="AA62">
        <v>4</v>
      </c>
      <c r="AB62">
        <v>5</v>
      </c>
      <c r="AC62">
        <v>2</v>
      </c>
    </row>
    <row r="63" spans="20:29" x14ac:dyDescent="0.15">
      <c r="T63">
        <f t="shared" si="8"/>
        <v>0.62627687091837403</v>
      </c>
      <c r="U63">
        <f t="shared" si="7"/>
        <v>0.35419972555597745</v>
      </c>
      <c r="V63">
        <f t="shared" si="7"/>
        <v>0.54264751858026739</v>
      </c>
      <c r="W63">
        <f t="shared" si="7"/>
        <v>0.55882856138263737</v>
      </c>
      <c r="Y63">
        <v>0.55000000000000004</v>
      </c>
      <c r="Z63">
        <v>0</v>
      </c>
      <c r="AA63">
        <v>2</v>
      </c>
      <c r="AB63">
        <v>6</v>
      </c>
      <c r="AC63">
        <v>14</v>
      </c>
    </row>
    <row r="64" spans="20:29" x14ac:dyDescent="0.15">
      <c r="T64">
        <f t="shared" si="8"/>
        <v>1.4726117235163478</v>
      </c>
      <c r="U64">
        <f t="shared" si="7"/>
        <v>1.0229666779972288</v>
      </c>
      <c r="V64">
        <f t="shared" si="7"/>
        <v>0.48005254780972778</v>
      </c>
      <c r="W64">
        <f t="shared" si="7"/>
        <v>0.51092158341342997</v>
      </c>
      <c r="Y64">
        <v>0.6</v>
      </c>
      <c r="Z64">
        <v>0</v>
      </c>
      <c r="AA64">
        <v>2</v>
      </c>
      <c r="AB64">
        <v>8</v>
      </c>
      <c r="AC64">
        <v>5</v>
      </c>
    </row>
    <row r="65" spans="20:29" x14ac:dyDescent="0.15">
      <c r="T65">
        <f t="shared" si="8"/>
        <v>9.7021687320796527E-3</v>
      </c>
      <c r="U65">
        <f t="shared" si="7"/>
        <v>0.5231465808065725</v>
      </c>
      <c r="V65">
        <f t="shared" si="7"/>
        <v>0.51670152733916674</v>
      </c>
      <c r="W65">
        <f t="shared" si="7"/>
        <v>0.533068656900198</v>
      </c>
      <c r="Y65">
        <v>0.65</v>
      </c>
      <c r="Z65">
        <v>2</v>
      </c>
      <c r="AA65">
        <v>3</v>
      </c>
      <c r="AB65">
        <v>1</v>
      </c>
      <c r="AC65">
        <v>0</v>
      </c>
    </row>
    <row r="66" spans="20:29" x14ac:dyDescent="0.15">
      <c r="T66">
        <f t="shared" si="8"/>
        <v>0.1597124432491957</v>
      </c>
      <c r="U66">
        <f t="shared" si="7"/>
        <v>0.62674202148942559</v>
      </c>
      <c r="V66">
        <f t="shared" si="7"/>
        <v>0.51829032686258414</v>
      </c>
      <c r="W66">
        <f t="shared" si="7"/>
        <v>0.53348976970282147</v>
      </c>
      <c r="Y66">
        <v>0.7</v>
      </c>
      <c r="Z66">
        <v>2</v>
      </c>
      <c r="AA66">
        <v>0</v>
      </c>
      <c r="AB66">
        <v>0</v>
      </c>
      <c r="AC66">
        <v>0</v>
      </c>
    </row>
    <row r="67" spans="20:29" x14ac:dyDescent="0.15">
      <c r="T67">
        <f t="shared" si="8"/>
        <v>0.63090284413050668</v>
      </c>
      <c r="U67">
        <f t="shared" si="7"/>
        <v>0.5770504495321197</v>
      </c>
      <c r="V67">
        <f t="shared" si="7"/>
        <v>0.59082357848081546</v>
      </c>
      <c r="W67">
        <f t="shared" si="7"/>
        <v>0.53903558794433304</v>
      </c>
      <c r="Y67">
        <v>0.75</v>
      </c>
      <c r="Z67">
        <v>1</v>
      </c>
      <c r="AA67">
        <v>1</v>
      </c>
      <c r="AB67">
        <v>0</v>
      </c>
      <c r="AC67">
        <v>0</v>
      </c>
    </row>
    <row r="68" spans="20:29" x14ac:dyDescent="0.15">
      <c r="T68">
        <f t="shared" si="8"/>
        <v>0.34645172337933755</v>
      </c>
      <c r="U68">
        <f t="shared" si="7"/>
        <v>0.47708333489882065</v>
      </c>
      <c r="V68">
        <f t="shared" si="7"/>
        <v>0.50034857661082333</v>
      </c>
      <c r="W68">
        <f t="shared" si="7"/>
        <v>0.54201078289087667</v>
      </c>
      <c r="Y68">
        <v>0.8</v>
      </c>
      <c r="Z68">
        <v>0</v>
      </c>
      <c r="AA68">
        <v>0</v>
      </c>
      <c r="AB68">
        <v>0</v>
      </c>
      <c r="AC68">
        <v>0</v>
      </c>
    </row>
    <row r="69" spans="20:29" x14ac:dyDescent="0.15">
      <c r="T69">
        <f t="shared" si="8"/>
        <v>2.9744312427846422</v>
      </c>
      <c r="U69">
        <f t="shared" si="7"/>
        <v>1.191648878953486</v>
      </c>
      <c r="V69">
        <f t="shared" si="7"/>
        <v>0.53007798638800585</v>
      </c>
      <c r="W69">
        <f t="shared" si="7"/>
        <v>0.57356489929683208</v>
      </c>
      <c r="Y69">
        <v>0.85</v>
      </c>
      <c r="Z69">
        <v>0</v>
      </c>
      <c r="AA69">
        <v>1</v>
      </c>
      <c r="AB69">
        <v>0</v>
      </c>
      <c r="AC69">
        <v>0</v>
      </c>
    </row>
    <row r="70" spans="20:29" x14ac:dyDescent="0.15">
      <c r="T70">
        <f t="shared" si="8"/>
        <v>0.29502545817859349</v>
      </c>
      <c r="U70">
        <f t="shared" si="7"/>
        <v>0.83526480629811983</v>
      </c>
      <c r="V70">
        <f t="shared" si="7"/>
        <v>0.55336448521020376</v>
      </c>
      <c r="W70">
        <f t="shared" si="7"/>
        <v>0.55306153483751286</v>
      </c>
      <c r="Y70">
        <v>0.9</v>
      </c>
      <c r="Z70">
        <v>0</v>
      </c>
      <c r="AA70">
        <v>1</v>
      </c>
      <c r="AB70">
        <v>0</v>
      </c>
      <c r="AC70">
        <v>0</v>
      </c>
    </row>
    <row r="71" spans="20:29" x14ac:dyDescent="0.15">
      <c r="T71">
        <f t="shared" si="8"/>
        <v>0.43856373754179379</v>
      </c>
      <c r="U71">
        <f t="shared" si="7"/>
        <v>0.57580849273142487</v>
      </c>
      <c r="V71">
        <f t="shared" si="7"/>
        <v>0.57944204406898925</v>
      </c>
      <c r="W71">
        <f t="shared" si="7"/>
        <v>0.50697992715166451</v>
      </c>
      <c r="Y71">
        <v>0.95</v>
      </c>
      <c r="Z71">
        <v>1</v>
      </c>
      <c r="AA71">
        <v>0</v>
      </c>
      <c r="AB71">
        <v>0</v>
      </c>
      <c r="AC71">
        <v>0</v>
      </c>
    </row>
    <row r="72" spans="20:29" x14ac:dyDescent="0.15">
      <c r="T72">
        <f t="shared" si="8"/>
        <v>0.14589843032684935</v>
      </c>
      <c r="U72">
        <f t="shared" si="7"/>
        <v>0.52998980942584861</v>
      </c>
      <c r="V72">
        <f t="shared" si="7"/>
        <v>0.6161348901324657</v>
      </c>
      <c r="W72">
        <f t="shared" si="7"/>
        <v>0.51554106759644336</v>
      </c>
      <c r="Y72">
        <v>1</v>
      </c>
      <c r="Z72">
        <v>0</v>
      </c>
      <c r="AA72">
        <v>0</v>
      </c>
      <c r="AB72">
        <v>0</v>
      </c>
      <c r="AC72">
        <v>0</v>
      </c>
    </row>
    <row r="73" spans="20:29" x14ac:dyDescent="0.15">
      <c r="T73">
        <f t="shared" si="8"/>
        <v>0.16515964358000171</v>
      </c>
      <c r="U73">
        <f t="shared" si="7"/>
        <v>0.60410979956725019</v>
      </c>
      <c r="V73">
        <f t="shared" si="7"/>
        <v>0.42227499044951078</v>
      </c>
      <c r="W73">
        <f t="shared" si="7"/>
        <v>0.51465314484443603</v>
      </c>
      <c r="Y73">
        <v>1.05</v>
      </c>
      <c r="Z73">
        <v>1</v>
      </c>
      <c r="AA73">
        <v>1</v>
      </c>
      <c r="AB73">
        <v>0</v>
      </c>
      <c r="AC73">
        <v>0</v>
      </c>
    </row>
    <row r="74" spans="20:29" x14ac:dyDescent="0.15">
      <c r="Y74">
        <v>1.1000000000000001</v>
      </c>
      <c r="Z74">
        <v>0</v>
      </c>
      <c r="AA74">
        <v>0</v>
      </c>
      <c r="AB74">
        <v>0</v>
      </c>
      <c r="AC74">
        <v>0</v>
      </c>
    </row>
    <row r="75" spans="20:29" x14ac:dyDescent="0.15">
      <c r="Y75">
        <v>1.1499999999999999</v>
      </c>
      <c r="Z75">
        <v>0</v>
      </c>
      <c r="AA75">
        <v>0</v>
      </c>
      <c r="AB75">
        <v>0</v>
      </c>
      <c r="AC75">
        <v>0</v>
      </c>
    </row>
    <row r="76" spans="20:29" x14ac:dyDescent="0.15">
      <c r="Y76">
        <v>1.2</v>
      </c>
      <c r="Z76">
        <v>0</v>
      </c>
      <c r="AA76">
        <v>1</v>
      </c>
      <c r="AB76">
        <v>0</v>
      </c>
      <c r="AC76">
        <v>0</v>
      </c>
    </row>
    <row r="77" spans="20:29" x14ac:dyDescent="0.15">
      <c r="Y77">
        <v>1.25</v>
      </c>
      <c r="Z77">
        <v>0</v>
      </c>
      <c r="AA77">
        <v>0</v>
      </c>
      <c r="AB77">
        <v>0</v>
      </c>
      <c r="AC77">
        <v>0</v>
      </c>
    </row>
    <row r="78" spans="20:29" x14ac:dyDescent="0.15">
      <c r="Y78">
        <v>1.3</v>
      </c>
      <c r="Z78">
        <v>0</v>
      </c>
      <c r="AA78">
        <v>0</v>
      </c>
      <c r="AB78">
        <v>0</v>
      </c>
      <c r="AC78">
        <v>0</v>
      </c>
    </row>
    <row r="79" spans="20:29" x14ac:dyDescent="0.15">
      <c r="Y79">
        <v>1.35</v>
      </c>
      <c r="Z79">
        <v>2</v>
      </c>
      <c r="AA79">
        <v>0</v>
      </c>
      <c r="AB79">
        <v>0</v>
      </c>
      <c r="AC79">
        <v>0</v>
      </c>
    </row>
    <row r="80" spans="20:29" x14ac:dyDescent="0.15">
      <c r="Y80">
        <v>1.4</v>
      </c>
      <c r="Z80">
        <v>0</v>
      </c>
      <c r="AA80">
        <v>0</v>
      </c>
      <c r="AB80">
        <v>0</v>
      </c>
      <c r="AC80">
        <v>0</v>
      </c>
    </row>
    <row r="81" spans="25:29" x14ac:dyDescent="0.15">
      <c r="Y81">
        <v>1.45</v>
      </c>
      <c r="Z81">
        <v>0</v>
      </c>
      <c r="AA81">
        <v>0</v>
      </c>
      <c r="AB81">
        <v>0</v>
      </c>
      <c r="AC81">
        <v>0</v>
      </c>
    </row>
    <row r="82" spans="25:29" x14ac:dyDescent="0.15">
      <c r="Y82">
        <v>1.5</v>
      </c>
      <c r="Z82">
        <v>1</v>
      </c>
      <c r="AA82">
        <v>0</v>
      </c>
      <c r="AB82">
        <v>0</v>
      </c>
      <c r="AC82">
        <v>0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森本裕介</dc:creator>
  <cp:lastModifiedBy>森本裕介</cp:lastModifiedBy>
  <dcterms:created xsi:type="dcterms:W3CDTF">2017-03-05T15:42:06Z</dcterms:created>
  <dcterms:modified xsi:type="dcterms:W3CDTF">2017-03-18T06:39:50Z</dcterms:modified>
</cp:coreProperties>
</file>